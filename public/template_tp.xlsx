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120" yWindow="108" windowWidth="28632" windowHeight="12600" firstSheet="2" activeTab="2"/>
  </bookViews>
  <sheets>
    <sheet name="Лист1" sheetId="1" state="hidden" r:id="rId1"/>
    <sheet name="ПС-Фидерлар" sheetId="4" state="hidden" r:id="rId2"/>
    <sheet name="10942" sheetId="6" r:id="rId3"/>
    <sheet name="Лист2" sheetId="7" state="hidden" r:id="rId4"/>
  </sheets>
  <definedNames>
    <definedName name="_xlnm.Print_Area" localSheetId="2">'10942'!$B$1:$K$55</definedName>
  </definedNames>
  <calcPr calcId="162913"/>
</workbook>
</file>

<file path=xl/calcChain.xml><?xml version="1.0" encoding="utf-8"?>
<calcChain xmlns="http://schemas.openxmlformats.org/spreadsheetml/2006/main">
  <c r="E3" i="4" l="1"/>
  <c r="E25" i="4" s="1"/>
  <c r="D18" i="4"/>
  <c r="D25" i="4" s="1"/>
</calcChain>
</file>

<file path=xl/sharedStrings.xml><?xml version="1.0" encoding="utf-8"?>
<sst xmlns="http://schemas.openxmlformats.org/spreadsheetml/2006/main" count="355" uniqueCount="237">
  <si>
    <t>1-Мастерчилк участкаси</t>
  </si>
  <si>
    <t>Жавобгар шахс уста Жуманиёзов Фахриддин</t>
  </si>
  <si>
    <t>2-Мастерчилк участкаси</t>
  </si>
  <si>
    <t>Жавобгар шахс уста Эшмурадов Нодир</t>
  </si>
  <si>
    <t>3-Мастерчилк участкаси</t>
  </si>
  <si>
    <t>Жавобгар шахс уста Садуллаев Аброр</t>
  </si>
  <si>
    <t>Беркитилан Нимстанциялар</t>
  </si>
  <si>
    <t>Фр.Янги Узбекистон</t>
  </si>
  <si>
    <t>Фр.А.Утар</t>
  </si>
  <si>
    <t>Фр.Шифохона</t>
  </si>
  <si>
    <t>Фр.Кармиш</t>
  </si>
  <si>
    <t>Фр.Остона</t>
  </si>
  <si>
    <t>ХЛ-10 кВ Фр.Янги Узбекистон</t>
  </si>
  <si>
    <t>ХЛ-10 кВ Фр.А.Утар</t>
  </si>
  <si>
    <t>ХЛ-10 кВ Фр.Шифохона</t>
  </si>
  <si>
    <t>ХЛ-10 кВ Фр.Кармиш</t>
  </si>
  <si>
    <t>ХЛ-10 кВ Фр.Остона</t>
  </si>
  <si>
    <t xml:space="preserve">Трансформатор пунктларни бириктириш </t>
  </si>
  <si>
    <t>ТП раками</t>
  </si>
  <si>
    <t>Инвентар раками</t>
  </si>
  <si>
    <t>Огохий махалласи</t>
  </si>
  <si>
    <t>Кўча номи</t>
  </si>
  <si>
    <t>Кувват</t>
  </si>
  <si>
    <t>Фидер</t>
  </si>
  <si>
    <t>ТП</t>
  </si>
  <si>
    <t>Мукаммал таъмирланган йили</t>
  </si>
  <si>
    <t>ТП нинг 
Тури</t>
  </si>
  <si>
    <t>Ишга туширган йили</t>
  </si>
  <si>
    <t>Завод раками</t>
  </si>
  <si>
    <t>Ишлаб чикарилган Завод</t>
  </si>
  <si>
    <t>Ишлаб чикарилган йили</t>
  </si>
  <si>
    <t>Трансформаторнинг урнатилиши ва баландлиги</t>
  </si>
  <si>
    <t>Разъедини
тели,
выключ.</t>
  </si>
  <si>
    <t>Разрядники</t>
  </si>
  <si>
    <t>Изоляторы</t>
  </si>
  <si>
    <t>шина</t>
  </si>
  <si>
    <t>Счетчик</t>
  </si>
  <si>
    <t>Тока Трансформатор</t>
  </si>
  <si>
    <t>Рубильники,
автоматы</t>
  </si>
  <si>
    <t>Выводы</t>
  </si>
  <si>
    <t>Фидерлар сони</t>
  </si>
  <si>
    <t>ХЛ</t>
  </si>
  <si>
    <t>ХЛ км</t>
  </si>
  <si>
    <t>проходные</t>
  </si>
  <si>
    <t>опорные</t>
  </si>
  <si>
    <t>ТИП</t>
  </si>
  <si>
    <t>№</t>
  </si>
  <si>
    <t>Янгиарик махалласи</t>
  </si>
  <si>
    <t>ГКТП</t>
  </si>
  <si>
    <t>-</t>
  </si>
  <si>
    <t>ОПН-10 кВ</t>
  </si>
  <si>
    <t>ИПУ-10/630</t>
  </si>
  <si>
    <t>ИО-10</t>
  </si>
  <si>
    <t xml:space="preserve">Алюминиевая </t>
  </si>
  <si>
    <t>СКТП</t>
  </si>
  <si>
    <t>РЛНД-10/400</t>
  </si>
  <si>
    <t>ПК-10/40 А</t>
  </si>
  <si>
    <t xml:space="preserve">ТЭ-73 </t>
  </si>
  <si>
    <t>фидер-1 воздушный,  фидер-2 воздушный</t>
  </si>
  <si>
    <t>Дустлик махалласи</t>
  </si>
  <si>
    <t>Трансформаторная част установлена на фундаменте из 2-х пасынков на высота 1,3 м</t>
  </si>
  <si>
    <t>ПК-10/10 А</t>
  </si>
  <si>
    <t>КТПМ</t>
  </si>
  <si>
    <t>Трансформаторная част установлена на опора</t>
  </si>
  <si>
    <t>ПРВ-10</t>
  </si>
  <si>
    <t>200/5</t>
  </si>
  <si>
    <t>40701155</t>
  </si>
  <si>
    <t>Мустақиллик кўча</t>
  </si>
  <si>
    <t>Янги Ўзбекистон</t>
  </si>
  <si>
    <t>114210138260</t>
  </si>
  <si>
    <t>100/5</t>
  </si>
  <si>
    <t xml:space="preserve">Главний рубильник 160А,  Главный Автомат 100А,      Автомат 40А,    Автомат 40А,    </t>
  </si>
  <si>
    <t xml:space="preserve">фидер-1 воздушный,  фидер-2 воздушный,  </t>
  </si>
  <si>
    <t>40701142</t>
  </si>
  <si>
    <t>Истиқбол кўча</t>
  </si>
  <si>
    <t>114210137600</t>
  </si>
  <si>
    <t>400/5</t>
  </si>
  <si>
    <t xml:space="preserve">Главний рубильник 400А,           Главний Автомат 400А,      Автомат 250А,      Автомат 250А     </t>
  </si>
  <si>
    <t>04011496</t>
  </si>
  <si>
    <t xml:space="preserve"> Янги Ўзбекистон массиви</t>
  </si>
  <si>
    <t>400</t>
  </si>
  <si>
    <t xml:space="preserve">Трансформаторная част установлена на фундамент (сокол.блок) высота 0,5 м, </t>
  </si>
  <si>
    <t xml:space="preserve">Главний рубильник 630А,  Главний  Автомат-630А,   Автомат-250А   Автомат-250А  Автомат-160А,    Автомат-160А,  Автомат-100А, </t>
  </si>
  <si>
    <t xml:space="preserve">фидер-1 кабелный,  фидер-2 кабелный,  фидер-3 кабелный,  фидер-4 кабелный,  </t>
  </si>
  <si>
    <t>04001033</t>
  </si>
  <si>
    <t>26.09.2022</t>
  </si>
  <si>
    <t>04001034</t>
  </si>
  <si>
    <t>04011495</t>
  </si>
  <si>
    <t>630</t>
  </si>
  <si>
    <t>30.05.2023</t>
  </si>
  <si>
    <t>РЛНД-10/600</t>
  </si>
  <si>
    <t>ПК-10/50 А</t>
  </si>
  <si>
    <t>04011804</t>
  </si>
  <si>
    <t>27.08.2024</t>
  </si>
  <si>
    <t>638</t>
  </si>
  <si>
    <t>04011805</t>
  </si>
  <si>
    <t>355</t>
  </si>
  <si>
    <t>04011803</t>
  </si>
  <si>
    <t>545</t>
  </si>
  <si>
    <t>Жорий таъмирланган йили</t>
  </si>
  <si>
    <t>Предохранители 10 кВ</t>
  </si>
  <si>
    <t>Предохранители 0,4 кВ</t>
  </si>
  <si>
    <t>Ахоли</t>
  </si>
  <si>
    <t>Улгуржи</t>
  </si>
  <si>
    <t>Истеъмолчи сони</t>
  </si>
  <si>
    <t>Жами</t>
  </si>
  <si>
    <t>Трансформатор пунктиди қилинган ишлар таснифи</t>
  </si>
  <si>
    <t>Бажарилан иш номи</t>
  </si>
  <si>
    <t>Наряд ёки Фармойиш рақами</t>
  </si>
  <si>
    <t>Санаси</t>
  </si>
  <si>
    <t>Кимлар томонидан қилинган</t>
  </si>
  <si>
    <t>Мукаммал таъмирлаш ишлари бўйича қилинган хужжатлар (Хужжатлар ПДФ, ЖПГ) форматда юкланади</t>
  </si>
  <si>
    <t>Трансформатор пункти курик далолатномаси (Хужжатлар ПДФ, ЖПГ) форматда юкланади</t>
  </si>
  <si>
    <t>Маълумотлари L=1,2 км,    9 та трансформатор пункти 1113 кВА</t>
  </si>
  <si>
    <t>Лакацияси</t>
  </si>
  <si>
    <t>Қурилиш қайси ташкилот томонидан амалга оширилган</t>
  </si>
  <si>
    <t xml:space="preserve">Қилинган ишларни наряд ижозатлари расми </t>
  </si>
  <si>
    <t xml:space="preserve">Кучланиши </t>
  </si>
  <si>
    <t>10/0,4 кВ</t>
  </si>
  <si>
    <t>НС:110/35/10 кВ Янгиариқ Т1-16000 кВА</t>
  </si>
  <si>
    <t>Фр. Иссикхона</t>
  </si>
  <si>
    <t>Фр.Таган</t>
  </si>
  <si>
    <t>Ф.Карбит</t>
  </si>
  <si>
    <t>Фр.Гулобод</t>
  </si>
  <si>
    <t>Фр.Бустон</t>
  </si>
  <si>
    <t>Фр.Шихбоги</t>
  </si>
  <si>
    <t>Фр.Мултанг</t>
  </si>
  <si>
    <t>Фр.Сувчи</t>
  </si>
  <si>
    <t>Фр.Бейватан</t>
  </si>
  <si>
    <t>Фр.Янгиарик</t>
  </si>
  <si>
    <t>Фр.Окмачит</t>
  </si>
  <si>
    <t>Фр.Коракуз</t>
  </si>
  <si>
    <t>6.ПС-35/10 кВ Шоликор   Т1-6300 кВА</t>
  </si>
  <si>
    <t>Фр.Янгиер</t>
  </si>
  <si>
    <t>Фр.Гулистон</t>
  </si>
  <si>
    <t>5.ПС-35/10кВ Сохибкор  Т1-4000 кВА</t>
  </si>
  <si>
    <t>4.ПС-35/10 кВ Каттабог  Т1-4000 кВА,  Т2-3200 кВА</t>
  </si>
  <si>
    <t>3.ПС-110/10 кВ И.Ибрагимов  Т1-6300 кВА</t>
  </si>
  <si>
    <t>2.ПС-110/35/10 кВ Янгиарик  Т1-16000 кВА</t>
  </si>
  <si>
    <t>1. ПС-110/35/10 кВ КС-3  Т1-16000 кВА</t>
  </si>
  <si>
    <t xml:space="preserve">                                                Т2-1800 кВА</t>
  </si>
  <si>
    <t>Трансформаторни юклами (Фоизда)</t>
  </si>
  <si>
    <t>+</t>
  </si>
  <si>
    <t xml:space="preserve">                        </t>
  </si>
  <si>
    <t xml:space="preserve">                                                                                         </t>
  </si>
  <si>
    <t xml:space="preserve">                                   </t>
  </si>
  <si>
    <t xml:space="preserve">    </t>
  </si>
  <si>
    <t xml:space="preserve">         </t>
  </si>
  <si>
    <t xml:space="preserve">       </t>
  </si>
  <si>
    <t xml:space="preserve">      </t>
  </si>
  <si>
    <t xml:space="preserve">                                                                                     </t>
  </si>
  <si>
    <t>g.</t>
  </si>
  <si>
    <t>10942/60 kVA</t>
  </si>
  <si>
    <t>114210139648</t>
  </si>
  <si>
    <t>IO-10</t>
  </si>
  <si>
    <t>Vivodi</t>
  </si>
  <si>
    <t>OPN-10 kV</t>
  </si>
  <si>
    <t>PK-10/10 A</t>
  </si>
  <si>
    <t>RLND-10/200</t>
  </si>
  <si>
    <t>SKTP-10942/60 kVA</t>
  </si>
  <si>
    <t>Tagan</t>
  </si>
  <si>
    <t xml:space="preserve">Tip </t>
  </si>
  <si>
    <t>SKTP</t>
  </si>
  <si>
    <t>Izolatori</t>
  </si>
  <si>
    <t>T/toka</t>
  </si>
  <si>
    <t>Avtomat-60A,   Avtomat-40A</t>
  </si>
  <si>
    <t>Data</t>
  </si>
  <si>
    <t>IPU-10/630</t>
  </si>
  <si>
    <t>F-1</t>
  </si>
  <si>
    <t>F-2</t>
  </si>
  <si>
    <t>F-3</t>
  </si>
  <si>
    <t>F-4</t>
  </si>
  <si>
    <t>Pasport  transformator</t>
  </si>
  <si>
    <t>Schyotchiki</t>
  </si>
  <si>
    <t>shini</t>
  </si>
  <si>
    <t>TP-10927, 10928, 10929, 10951, 10942 transformatorlarni atrofini tozalash</t>
  </si>
  <si>
    <t>TP-10942 fr-1,2 larni navbatdan tashkari karov kilish</t>
  </si>
  <si>
    <t>Zashchita</t>
  </si>
  <si>
    <t>TE-73 114210139648</t>
  </si>
  <si>
    <t xml:space="preserve">TE-73 </t>
  </si>
  <si>
    <t>Razryadniki</t>
  </si>
  <si>
    <t>Ot tokov korotkogo zamikaniya</t>
  </si>
  <si>
    <t>XL-10942 fr-1,2 larni joriy ta’mirlash salki simlarni taranglash simga yakinlashgan daraxt shoxlarini chopish tayanch tugirlash</t>
  </si>
  <si>
    <t>Soburzon maxallasi Al-Xorazmiy ko‘cha</t>
  </si>
  <si>
    <t xml:space="preserve">Usta YU.Kutlimuratov gr-V                        IB A.Kuryozov gr-III,                   El.montyor S.Kalandarov gr-III,                        S.Matyakubov gr III,                                </t>
  </si>
  <si>
    <t xml:space="preserve">Usta YU.Kutlimuratov gr-V                        IB R.Jumaniyozov gr III,                                El.montyor S.Klandarov gr III, A.Kuryozov gr III,                                </t>
  </si>
  <si>
    <t xml:space="preserve">Usta YU.Kutlimuratov gr-V                        IB M.Jumanov gr-IV,                  El.montyor A.Kuryozov gr-III                                                  S.Matyakubov gr-III                                                  </t>
  </si>
  <si>
    <t>proxodniye</t>
  </si>
  <si>
    <t>oporniye</t>
  </si>
  <si>
    <t>vazdushniye</t>
  </si>
  <si>
    <t xml:space="preserve">Usta YU.Kutlimuratov gr-V,                    IB O.Atajanov Gr-IV,               El.montyor R.Xudayberganov gr- III, </t>
  </si>
  <si>
    <t>Usta B.Abdrimov gr-V,                             IB M.Allaberganov gr-IV,               El.montyor U.Matyakubov-I</t>
  </si>
  <si>
    <t xml:space="preserve">Usta YU.Kutlimuratov gr-V,                      IB O.Atajanov gr-IV,                   El.montyor R.Xudayberganov gr III,             </t>
  </si>
  <si>
    <t xml:space="preserve"> Fider </t>
  </si>
  <si>
    <t>fider-1 vozdushniy,  fider-2 vozdushniy</t>
  </si>
  <si>
    <t xml:space="preserve">XL-10 kV fider  </t>
  </si>
  <si>
    <t>XL-10 kV fider  Tagan</t>
  </si>
  <si>
    <t xml:space="preserve">Usta YU.Kutlimuratov gr-V                        IB M.Jumanov gr-IV                 El.montyor D.Yuldoshev gr-III,              </t>
  </si>
  <si>
    <t>T/napryajeniya</t>
  </si>
  <si>
    <t>Danniye o profilaktike, ispitaniyax i 
dr. avariynix rabotax provodimix v TP</t>
  </si>
  <si>
    <t xml:space="preserve">Yangiarik tuman elektr ta’minoti korxonasi </t>
  </si>
  <si>
    <t>Data izgotovleniya</t>
  </si>
  <si>
    <t>TP-10922, 10939, 10942, 10926 larni joriy ta’mirlash balans elektr xisoblagich urnatish</t>
  </si>
  <si>
    <t>Zav nomer №</t>
  </si>
  <si>
    <t xml:space="preserve">Usta YU.Kutlimuratov gr-V                        IB M.Axmedov gr-III,                 El.montyor F.Klichev gr-III,               </t>
  </si>
  <si>
    <t>Zamechaniya</t>
  </si>
  <si>
    <t>Adres</t>
  </si>
  <si>
    <t>TP-10942 transformatorni asosini remont kilish va konturlarini urnatishlik uchun</t>
  </si>
  <si>
    <t>Transformatornaya chast ustanovlena na fundamente iz 4-x pasinkov na visota 0,7 m</t>
  </si>
  <si>
    <t>Predoxraniteli</t>
  </si>
  <si>
    <t>predoxraniteli</t>
  </si>
  <si>
    <t>XL-0,4 kV TP-10942 fr-1,2 larni joriy ta’mirlash simga yakinlashgan daraxtlarni shoxlarini chopish yuklamalarni fazalarga teng taksimlash</t>
  </si>
  <si>
    <t xml:space="preserve">XL-0,4 kV TP-10942 fr-1,2 larni joriy ta’mirlash simga yakinlashgan daraxt shoxlarini chopish salki simlarni taranglash yuklamalarni fazalarga teng taksimlash </t>
  </si>
  <si>
    <t>TP-10942 ni yuklamasini teng taksimlash uchun asosini urnatish va yangidan montaj kilish</t>
  </si>
  <si>
    <t xml:space="preserve">Usta YU.Kutlimuratov gr-V,                      IB R.Xudayberganov gr III,                       El.montyor B.Avezov gr-III, </t>
  </si>
  <si>
    <t xml:space="preserve">Usta YU.Kutlimuratov gr-V                        IB  B.Avezov gr-IV,             El.montyor F.Klichev gr-III, </t>
  </si>
  <si>
    <t xml:space="preserve">Usta YU.Kutlimuratov gr-V                        IB  B.Avezov gr-IV,                       El.montyor F.Klichev gr-III,           A.Sa’dullayev gr-III, </t>
  </si>
  <si>
    <t xml:space="preserve">Usta YU.Kutlimuratov gr-V                        IB  B.Avezov gr-IV,                 El.montyor F.Klichev gr-III,           A.Sa’dullayev gr-III, </t>
  </si>
  <si>
    <t>Otmetki o proverke dokumentov</t>
  </si>
  <si>
    <t>1. Texnicheskaya xarakteristika</t>
  </si>
  <si>
    <t>Stroit. Montaj. Organizatsiya  ________PMK-10_________________________________________________________________</t>
  </si>
  <si>
    <t>Odnolineynaya Sxema Kommutatsii T-ka</t>
  </si>
  <si>
    <t>Soburzon MFYda Obod maxalla rekonstruksiya kilish uchun fr Taganda OL-10942ni nomeratsiya kilishlik uchun</t>
  </si>
  <si>
    <t>TP-10309, 10310, 10312, 10942, 10949 larga ASKUE dasturiga utkazish uchun konsentrator shitlarini urnatish</t>
  </si>
  <si>
    <t>TP-10942, 10452, 10205, 10912, 10918 larga ASKUE dasturiga utkazish uchun konsentrator shchitlarini urnatish</t>
  </si>
  <si>
    <t>2. Ekspluatatsioniye Svedeniya</t>
  </si>
  <si>
    <t>Sobstvennost</t>
  </si>
  <si>
    <t>Zavod izgotovitel</t>
  </si>
  <si>
    <t>Rubilniki,
avtomati</t>
  </si>
  <si>
    <t>Doljnost 
podpis</t>
  </si>
  <si>
    <t>Familya podpis</t>
  </si>
  <si>
    <t>VISOKOVOLTNAYA SACHT</t>
  </si>
  <si>
    <t>NIZKOVOLTNAYA SACHT</t>
  </si>
  <si>
    <t>DOPOLNITELNIYE SVEDENIYA</t>
  </si>
  <si>
    <t>God vklucheniya</t>
  </si>
  <si>
    <t>Razyedini
teli,
vikluch.</t>
  </si>
  <si>
    <t>TP-10939, 10940, 10941, 10942, 10943 larni joriy ta’mirlash, boltli brikmalarini tortish, izolatsiyalarini va atrofini tozalash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</si>
</sst>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color theme="1"/>
      <name val="Times New Roman"/>
      <family val="2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0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sz val="10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93">
    <xf numFmtId="0" fontId="0" fillId="0" borderId="0" xfId="0"/>
    <xf numFmtId="0" fontId="1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0" xfId="0" applyFont="1"/>
    <xf numFmtId="0" fontId="0" fillId="0" borderId="0" xfId="0" applyFill="1"/>
    <xf numFmtId="0" fontId="1" fillId="0" borderId="0" xfId="0" applyFont="1" applyAlignment="1">
      <alignment horizontal="left"/>
    </xf>
    <xf numFmtId="0" fontId="6" fillId="0" borderId="0" xfId="2"/>
    <xf numFmtId="0" fontId="10" fillId="0" borderId="0" xfId="2" applyFont="1"/>
    <xf numFmtId="0" fontId="11" fillId="0" borderId="0" xfId="2" applyFont="1" applyFill="1" applyAlignment="1" applyProtection="1">
      <alignment vertical="center"/>
    </xf>
    <xf numFmtId="0" fontId="12" fillId="0" borderId="0" xfId="2" applyFont="1" applyFill="1" applyAlignment="1" applyProtection="1">
      <alignment vertical="center"/>
    </xf>
    <xf numFmtId="0" fontId="11" fillId="0" borderId="0" xfId="2" applyFont="1" applyFill="1" applyAlignment="1" applyProtection="1">
      <alignment horizontal="right" vertical="center"/>
    </xf>
    <xf numFmtId="14" fontId="12" fillId="0" borderId="0" xfId="2" applyNumberFormat="1" applyFont="1" applyFill="1" applyAlignment="1" applyProtection="1">
      <alignment vertical="center"/>
    </xf>
    <xf numFmtId="0" fontId="12" fillId="0" borderId="0" xfId="2" applyFont="1" applyFill="1" applyAlignment="1" applyProtection="1">
      <alignment horizontal="left" vertical="center"/>
    </xf>
    <xf numFmtId="0" fontId="13" fillId="0" borderId="0" xfId="2" applyFont="1" applyFill="1" applyAlignment="1" applyProtection="1">
      <alignment vertical="center"/>
    </xf>
    <xf numFmtId="0" fontId="14" fillId="0" borderId="0" xfId="2" applyFont="1" applyFill="1" applyAlignment="1" applyProtection="1">
      <alignment vertical="center"/>
    </xf>
    <xf numFmtId="0" fontId="12" fillId="0" borderId="0" xfId="2" applyFont="1" applyFill="1" applyAlignment="1" applyProtection="1">
      <alignment horizontal="center" vertical="center"/>
    </xf>
    <xf numFmtId="0" fontId="13" fillId="0" borderId="2" xfId="2" applyFont="1" applyBorder="1" applyAlignment="1">
      <alignment horizontal="center" vertical="center" wrapText="1"/>
    </xf>
    <xf numFmtId="0" fontId="6" fillId="0" borderId="2" xfId="2" applyBorder="1" applyAlignment="1">
      <alignment horizontal="center" vertical="center" wrapText="1"/>
    </xf>
    <xf numFmtId="0" fontId="13" fillId="0" borderId="2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6" fillId="0" borderId="2" xfId="2" applyBorder="1"/>
    <xf numFmtId="0" fontId="8" fillId="0" borderId="0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14" fontId="6" fillId="0" borderId="2" xfId="2" applyNumberFormat="1" applyFill="1" applyBorder="1" applyAlignment="1">
      <alignment horizontal="center" vertical="center" wrapText="1"/>
    </xf>
    <xf numFmtId="14" fontId="15" fillId="0" borderId="2" xfId="2" applyNumberFormat="1" applyFont="1" applyFill="1" applyBorder="1" applyAlignment="1">
      <alignment horizontal="center" vertical="center" wrapText="1"/>
    </xf>
    <xf numFmtId="14" fontId="15" fillId="0" borderId="2" xfId="2" applyNumberFormat="1" applyFont="1" applyBorder="1" applyAlignment="1">
      <alignment horizontal="center" vertical="center" wrapText="1"/>
    </xf>
    <xf numFmtId="0" fontId="16" fillId="0" borderId="0" xfId="2" applyFont="1"/>
    <xf numFmtId="0" fontId="17" fillId="0" borderId="2" xfId="2" applyFont="1" applyBorder="1" applyAlignment="1">
      <alignment horizontal="center" vertical="center" wrapText="1"/>
    </xf>
    <xf numFmtId="0" fontId="18" fillId="0" borderId="2" xfId="2" applyFont="1" applyBorder="1" applyAlignment="1">
      <alignment horizontal="center" vertical="center"/>
    </xf>
    <xf numFmtId="0" fontId="9" fillId="0" borderId="0" xfId="2" applyFont="1" applyAlignment="1">
      <alignment horizontal="center"/>
    </xf>
    <xf numFmtId="0" fontId="10" fillId="0" borderId="0" xfId="2" applyFont="1" applyAlignment="1"/>
    <xf numFmtId="0" fontId="1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5" fillId="0" borderId="0" xfId="2" applyFont="1" applyAlignment="1">
      <alignment horizontal="right"/>
    </xf>
    <xf numFmtId="0" fontId="1" fillId="0" borderId="0" xfId="2" applyFont="1" applyAlignment="1">
      <alignment horizontal="right"/>
    </xf>
    <xf numFmtId="0" fontId="5" fillId="0" borderId="0" xfId="2" applyFont="1"/>
    <xf numFmtId="0" fontId="1" fillId="0" borderId="0" xfId="2" applyFont="1"/>
    <xf numFmtId="0" fontId="19" fillId="0" borderId="0" xfId="2" applyFont="1"/>
    <xf numFmtId="0" fontId="20" fillId="0" borderId="0" xfId="2" applyFont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19" fillId="0" borderId="0" xfId="2" applyFont="1" applyAlignment="1">
      <alignment horizontal="center" vertical="center"/>
    </xf>
    <xf numFmtId="0" fontId="19" fillId="0" borderId="0" xfId="2" applyFont="1" applyAlignment="1">
      <alignment horizontal="center"/>
    </xf>
    <xf numFmtId="0" fontId="6" fillId="0" borderId="0" xfId="2" applyAlignment="1">
      <alignment horizontal="center" wrapText="1"/>
    </xf>
    <xf numFmtId="0" fontId="6" fillId="0" borderId="0" xfId="2" applyAlignment="1">
      <alignment horizontal="center"/>
    </xf>
    <xf numFmtId="0" fontId="6" fillId="0" borderId="4" xfId="2" applyBorder="1" applyAlignment="1">
      <alignment horizontal="center"/>
    </xf>
    <xf numFmtId="0" fontId="6" fillId="0" borderId="5" xfId="2" applyBorder="1" applyAlignment="1">
      <alignment horizontal="center"/>
    </xf>
    <xf numFmtId="0" fontId="6" fillId="0" borderId="6" xfId="2" applyBorder="1" applyAlignment="1">
      <alignment horizontal="center"/>
    </xf>
    <xf numFmtId="0" fontId="18" fillId="0" borderId="4" xfId="2" applyFont="1" applyBorder="1" applyAlignment="1">
      <alignment horizontal="left" vertical="center"/>
    </xf>
    <xf numFmtId="0" fontId="18" fillId="0" borderId="5" xfId="2" applyFont="1" applyBorder="1" applyAlignment="1">
      <alignment horizontal="left" vertical="center"/>
    </xf>
    <xf numFmtId="0" fontId="18" fillId="0" borderId="6" xfId="2" applyFont="1" applyBorder="1" applyAlignment="1">
      <alignment horizontal="left" vertical="center"/>
    </xf>
    <xf numFmtId="0" fontId="18" fillId="0" borderId="4" xfId="2" applyFont="1" applyBorder="1" applyAlignment="1">
      <alignment horizontal="center" vertical="center"/>
    </xf>
    <xf numFmtId="0" fontId="18" fillId="0" borderId="6" xfId="2" applyFont="1" applyBorder="1" applyAlignment="1">
      <alignment horizontal="center" vertical="center"/>
    </xf>
    <xf numFmtId="0" fontId="6" fillId="0" borderId="4" xfId="2" applyBorder="1" applyAlignment="1">
      <alignment horizontal="center" vertical="center" wrapText="1"/>
    </xf>
    <xf numFmtId="0" fontId="6" fillId="0" borderId="5" xfId="2" applyBorder="1" applyAlignment="1">
      <alignment horizontal="center" vertical="center" wrapText="1"/>
    </xf>
    <xf numFmtId="0" fontId="6" fillId="0" borderId="6" xfId="2" applyBorder="1" applyAlignment="1">
      <alignment horizontal="center" vertical="center" wrapText="1"/>
    </xf>
    <xf numFmtId="0" fontId="6" fillId="0" borderId="4" xfId="2" applyFill="1" applyBorder="1" applyAlignment="1">
      <alignment horizontal="center" vertical="center" wrapText="1"/>
    </xf>
    <xf numFmtId="0" fontId="6" fillId="0" borderId="6" xfId="2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6" fillId="0" borderId="5" xfId="2" applyFill="1" applyBorder="1" applyAlignment="1">
      <alignment horizontal="center" vertical="center" wrapText="1"/>
    </xf>
    <xf numFmtId="0" fontId="15" fillId="0" borderId="4" xfId="2" applyFont="1" applyFill="1" applyBorder="1" applyAlignment="1">
      <alignment horizontal="center" vertical="center" wrapText="1"/>
    </xf>
    <xf numFmtId="0" fontId="15" fillId="0" borderId="6" xfId="2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center" wrapText="1"/>
    </xf>
    <xf numFmtId="0" fontId="8" fillId="0" borderId="2" xfId="2" applyFont="1" applyBorder="1" applyAlignment="1">
      <alignment horizontal="center"/>
    </xf>
    <xf numFmtId="0" fontId="15" fillId="0" borderId="5" xfId="2" applyFont="1" applyFill="1" applyBorder="1" applyAlignment="1">
      <alignment horizontal="center" vertical="center" wrapText="1"/>
    </xf>
    <xf numFmtId="0" fontId="12" fillId="0" borderId="0" xfId="2" applyFont="1" applyAlignment="1">
      <alignment horizontal="center" vertical="center"/>
    </xf>
    <xf numFmtId="0" fontId="13" fillId="0" borderId="2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7" fillId="0" borderId="0" xfId="2" applyFont="1" applyAlignment="1">
      <alignment horizontal="center"/>
    </xf>
    <xf numFmtId="0" fontId="9" fillId="0" borderId="0" xfId="2" applyFont="1" applyFill="1" applyAlignment="1" applyProtection="1">
      <alignment horizontal="center" vertical="center"/>
    </xf>
    <xf numFmtId="0" fontId="12" fillId="0" borderId="0" xfId="2" applyFont="1" applyFill="1" applyAlignment="1" applyProtection="1">
      <alignment vertical="center"/>
    </xf>
  </cellXfs>
  <cellStyles count="3">
    <cellStyle name="Обычный" xfId="0" builtinId="0"/>
    <cellStyle name="Обычный 2" xfId="2"/>
    <cellStyle name="Обычный_ЯНГИБОЗОР ВИЛ ПРОКУРАТУРАСИ ТОПШИРИГИ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561973</xdr:colOff>
      <xdr:row>77</xdr:row>
      <xdr:rowOff>76200</xdr:rowOff>
    </xdr:from>
    <xdr:to>
      <xdr:col>5</xdr:col>
      <xdr:colOff>581024</xdr:colOff>
      <xdr:row>81</xdr:row>
      <xdr:rowOff>95249</xdr:rowOff>
    </xdr:to>
    <xdr:sp macro="" textlink="">
      <xdr:nvSpPr>
        <xdr:cNvPr id="2" name="Line 20"/>
        <xdr:cNvSpPr>
          <a:spLocks noChangeShapeType="1"/>
        </xdr:cNvSpPr>
      </xdr:nvSpPr>
      <xdr:spPr bwMode="auto">
        <a:xfrm>
          <a:off x="5619748" y="22640925"/>
          <a:ext cx="19051" cy="781049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514350</xdr:colOff>
      <xdr:row>62</xdr:row>
      <xdr:rowOff>1</xdr:rowOff>
    </xdr:from>
    <xdr:to>
      <xdr:col>5</xdr:col>
      <xdr:colOff>514350</xdr:colOff>
      <xdr:row>64</xdr:row>
      <xdr:rowOff>1</xdr:rowOff>
    </xdr:to>
    <xdr:sp macro="" textlink="">
      <xdr:nvSpPr>
        <xdr:cNvPr id="3" name="Line 26"/>
        <xdr:cNvSpPr>
          <a:spLocks noChangeShapeType="1"/>
        </xdr:cNvSpPr>
      </xdr:nvSpPr>
      <xdr:spPr bwMode="auto">
        <a:xfrm>
          <a:off x="5572125" y="19678651"/>
          <a:ext cx="0" cy="3810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542923</xdr:colOff>
      <xdr:row>66</xdr:row>
      <xdr:rowOff>9526</xdr:rowOff>
    </xdr:from>
    <xdr:to>
      <xdr:col>5</xdr:col>
      <xdr:colOff>542924</xdr:colOff>
      <xdr:row>67</xdr:row>
      <xdr:rowOff>180976</xdr:rowOff>
    </xdr:to>
    <xdr:sp macro="" textlink="">
      <xdr:nvSpPr>
        <xdr:cNvPr id="4" name="Line 25"/>
        <xdr:cNvSpPr>
          <a:spLocks noChangeShapeType="1"/>
        </xdr:cNvSpPr>
      </xdr:nvSpPr>
      <xdr:spPr bwMode="auto">
        <a:xfrm>
          <a:off x="5600698" y="20459701"/>
          <a:ext cx="1" cy="3619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62</xdr:row>
      <xdr:rowOff>0</xdr:rowOff>
    </xdr:from>
    <xdr:to>
      <xdr:col>9</xdr:col>
      <xdr:colOff>685800</xdr:colOff>
      <xdr:row>62</xdr:row>
      <xdr:rowOff>0</xdr:rowOff>
    </xdr:to>
    <xdr:cxnSp macro="">
      <xdr:nvCxnSpPr>
        <xdr:cNvPr id="5" name="Прямая соединительная линия 4"/>
        <xdr:cNvCxnSpPr/>
      </xdr:nvCxnSpPr>
      <xdr:spPr>
        <a:xfrm>
          <a:off x="2847975" y="19678650"/>
          <a:ext cx="5886450" cy="0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64</xdr:row>
      <xdr:rowOff>47625</xdr:rowOff>
    </xdr:from>
    <xdr:to>
      <xdr:col>5</xdr:col>
      <xdr:colOff>800100</xdr:colOff>
      <xdr:row>66</xdr:row>
      <xdr:rowOff>9525</xdr:rowOff>
    </xdr:to>
    <xdr:sp macro="" textlink="">
      <xdr:nvSpPr>
        <xdr:cNvPr id="6" name="Line 19"/>
        <xdr:cNvSpPr>
          <a:spLocks noChangeShapeType="1"/>
        </xdr:cNvSpPr>
      </xdr:nvSpPr>
      <xdr:spPr bwMode="auto">
        <a:xfrm flipH="1">
          <a:off x="5591175" y="20107275"/>
          <a:ext cx="266700" cy="3524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819150</xdr:colOff>
      <xdr:row>67</xdr:row>
      <xdr:rowOff>104775</xdr:rowOff>
    </xdr:from>
    <xdr:to>
      <xdr:col>5</xdr:col>
      <xdr:colOff>238125</xdr:colOff>
      <xdr:row>68</xdr:row>
      <xdr:rowOff>142875</xdr:rowOff>
    </xdr:to>
    <xdr:sp macro="" textlink="">
      <xdr:nvSpPr>
        <xdr:cNvPr id="7" name="Rectangle 17"/>
        <xdr:cNvSpPr>
          <a:spLocks noChangeArrowheads="1"/>
        </xdr:cNvSpPr>
      </xdr:nvSpPr>
      <xdr:spPr bwMode="auto">
        <a:xfrm>
          <a:off x="4800600" y="20745450"/>
          <a:ext cx="495300" cy="228600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5</xdr:col>
      <xdr:colOff>228600</xdr:colOff>
      <xdr:row>68</xdr:row>
      <xdr:rowOff>9525</xdr:rowOff>
    </xdr:from>
    <xdr:to>
      <xdr:col>5</xdr:col>
      <xdr:colOff>552450</xdr:colOff>
      <xdr:row>68</xdr:row>
      <xdr:rowOff>9525</xdr:rowOff>
    </xdr:to>
    <xdr:sp macro="" textlink="">
      <xdr:nvSpPr>
        <xdr:cNvPr id="8" name="Line 25"/>
        <xdr:cNvSpPr>
          <a:spLocks noChangeShapeType="1"/>
        </xdr:cNvSpPr>
      </xdr:nvSpPr>
      <xdr:spPr bwMode="auto">
        <a:xfrm flipH="1">
          <a:off x="5286375" y="20840700"/>
          <a:ext cx="3238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542925</xdr:colOff>
      <xdr:row>68</xdr:row>
      <xdr:rowOff>28575</xdr:rowOff>
    </xdr:from>
    <xdr:to>
      <xdr:col>5</xdr:col>
      <xdr:colOff>542926</xdr:colOff>
      <xdr:row>70</xdr:row>
      <xdr:rowOff>0</xdr:rowOff>
    </xdr:to>
    <xdr:sp macro="" textlink="">
      <xdr:nvSpPr>
        <xdr:cNvPr id="9" name="Line 25"/>
        <xdr:cNvSpPr>
          <a:spLocks noChangeShapeType="1"/>
        </xdr:cNvSpPr>
      </xdr:nvSpPr>
      <xdr:spPr bwMode="auto">
        <a:xfrm>
          <a:off x="5600700" y="20859750"/>
          <a:ext cx="1" cy="3619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1062038</xdr:colOff>
      <xdr:row>67</xdr:row>
      <xdr:rowOff>104775</xdr:rowOff>
    </xdr:from>
    <xdr:to>
      <xdr:col>4</xdr:col>
      <xdr:colOff>1062038</xdr:colOff>
      <xdr:row>68</xdr:row>
      <xdr:rowOff>142875</xdr:rowOff>
    </xdr:to>
    <xdr:cxnSp macro="">
      <xdr:nvCxnSpPr>
        <xdr:cNvPr id="10" name="Прямая соединительная линия 9"/>
        <xdr:cNvCxnSpPr>
          <a:stCxn id="7" idx="0"/>
          <a:endCxn id="7" idx="2"/>
        </xdr:cNvCxnSpPr>
      </xdr:nvCxnSpPr>
      <xdr:spPr>
        <a:xfrm>
          <a:off x="5043488" y="20745450"/>
          <a:ext cx="0" cy="2286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128588</xdr:colOff>
      <xdr:row>67</xdr:row>
      <xdr:rowOff>104775</xdr:rowOff>
    </xdr:from>
    <xdr:to>
      <xdr:col>5</xdr:col>
      <xdr:colOff>128588</xdr:colOff>
      <xdr:row>68</xdr:row>
      <xdr:rowOff>142875</xdr:rowOff>
    </xdr:to>
    <xdr:cxnSp macro="">
      <xdr:nvCxnSpPr>
        <xdr:cNvPr id="11" name="Прямая соединительная линия 10"/>
        <xdr:cNvCxnSpPr/>
      </xdr:nvCxnSpPr>
      <xdr:spPr>
        <a:xfrm>
          <a:off x="5186363" y="20745450"/>
          <a:ext cx="0" cy="2286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900113</xdr:colOff>
      <xdr:row>67</xdr:row>
      <xdr:rowOff>114300</xdr:rowOff>
    </xdr:from>
    <xdr:to>
      <xdr:col>4</xdr:col>
      <xdr:colOff>900113</xdr:colOff>
      <xdr:row>68</xdr:row>
      <xdr:rowOff>152400</xdr:rowOff>
    </xdr:to>
    <xdr:cxnSp macro="">
      <xdr:nvCxnSpPr>
        <xdr:cNvPr id="12" name="Прямая соединительная линия 11"/>
        <xdr:cNvCxnSpPr/>
      </xdr:nvCxnSpPr>
      <xdr:spPr>
        <a:xfrm>
          <a:off x="4881563" y="20754975"/>
          <a:ext cx="0" cy="2286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571499</xdr:colOff>
      <xdr:row>68</xdr:row>
      <xdr:rowOff>9525</xdr:rowOff>
    </xdr:from>
    <xdr:to>
      <xdr:col>4</xdr:col>
      <xdr:colOff>809624</xdr:colOff>
      <xdr:row>68</xdr:row>
      <xdr:rowOff>9525</xdr:rowOff>
    </xdr:to>
    <xdr:sp macro="" textlink="">
      <xdr:nvSpPr>
        <xdr:cNvPr id="13" name="Line 25"/>
        <xdr:cNvSpPr>
          <a:spLocks noChangeShapeType="1"/>
        </xdr:cNvSpPr>
      </xdr:nvSpPr>
      <xdr:spPr bwMode="auto">
        <a:xfrm flipH="1">
          <a:off x="4552949" y="20840700"/>
          <a:ext cx="2381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571500</xdr:colOff>
      <xdr:row>67</xdr:row>
      <xdr:rowOff>104775</xdr:rowOff>
    </xdr:from>
    <xdr:to>
      <xdr:col>4</xdr:col>
      <xdr:colOff>571500</xdr:colOff>
      <xdr:row>68</xdr:row>
      <xdr:rowOff>123825</xdr:rowOff>
    </xdr:to>
    <xdr:cxnSp macro="">
      <xdr:nvCxnSpPr>
        <xdr:cNvPr id="14" name="Прямая соединительная линия 13"/>
        <xdr:cNvCxnSpPr/>
      </xdr:nvCxnSpPr>
      <xdr:spPr>
        <a:xfrm>
          <a:off x="4552950" y="20745450"/>
          <a:ext cx="0" cy="2095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504825</xdr:colOff>
      <xdr:row>67</xdr:row>
      <xdr:rowOff>123825</xdr:rowOff>
    </xdr:from>
    <xdr:to>
      <xdr:col>4</xdr:col>
      <xdr:colOff>504825</xdr:colOff>
      <xdr:row>68</xdr:row>
      <xdr:rowOff>95250</xdr:rowOff>
    </xdr:to>
    <xdr:cxnSp macro="">
      <xdr:nvCxnSpPr>
        <xdr:cNvPr id="15" name="Прямая соединительная линия 14"/>
        <xdr:cNvCxnSpPr/>
      </xdr:nvCxnSpPr>
      <xdr:spPr>
        <a:xfrm>
          <a:off x="4486275" y="20764500"/>
          <a:ext cx="0" cy="1619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67</xdr:row>
      <xdr:rowOff>133350</xdr:rowOff>
    </xdr:from>
    <xdr:to>
      <xdr:col>4</xdr:col>
      <xdr:colOff>428625</xdr:colOff>
      <xdr:row>68</xdr:row>
      <xdr:rowOff>38100</xdr:rowOff>
    </xdr:to>
    <xdr:cxnSp macro="">
      <xdr:nvCxnSpPr>
        <xdr:cNvPr id="16" name="Прямая соединительная линия 15"/>
        <xdr:cNvCxnSpPr/>
      </xdr:nvCxnSpPr>
      <xdr:spPr>
        <a:xfrm>
          <a:off x="4410075" y="20774025"/>
          <a:ext cx="0" cy="952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442913</xdr:colOff>
      <xdr:row>69</xdr:row>
      <xdr:rowOff>166688</xdr:rowOff>
    </xdr:from>
    <xdr:to>
      <xdr:col>5</xdr:col>
      <xdr:colOff>671513</xdr:colOff>
      <xdr:row>72</xdr:row>
      <xdr:rowOff>71438</xdr:rowOff>
    </xdr:to>
    <xdr:sp macro="" textlink="">
      <xdr:nvSpPr>
        <xdr:cNvPr id="17" name="Rectangle 17"/>
        <xdr:cNvSpPr>
          <a:spLocks noChangeArrowheads="1"/>
        </xdr:cNvSpPr>
      </xdr:nvSpPr>
      <xdr:spPr bwMode="auto">
        <a:xfrm rot="5400000">
          <a:off x="5372100" y="21326476"/>
          <a:ext cx="485775" cy="228600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5</xdr:col>
      <xdr:colOff>552450</xdr:colOff>
      <xdr:row>69</xdr:row>
      <xdr:rowOff>180975</xdr:rowOff>
    </xdr:from>
    <xdr:to>
      <xdr:col>5</xdr:col>
      <xdr:colOff>552450</xdr:colOff>
      <xdr:row>73</xdr:row>
      <xdr:rowOff>171450</xdr:rowOff>
    </xdr:to>
    <xdr:sp macro="" textlink="">
      <xdr:nvSpPr>
        <xdr:cNvPr id="18" name="Line 25"/>
        <xdr:cNvSpPr>
          <a:spLocks noChangeShapeType="1"/>
        </xdr:cNvSpPr>
      </xdr:nvSpPr>
      <xdr:spPr bwMode="auto">
        <a:xfrm>
          <a:off x="5610225" y="21212175"/>
          <a:ext cx="0" cy="7620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228600</xdr:colOff>
      <xdr:row>78</xdr:row>
      <xdr:rowOff>57150</xdr:rowOff>
    </xdr:from>
    <xdr:to>
      <xdr:col>5</xdr:col>
      <xdr:colOff>857249</xdr:colOff>
      <xdr:row>78</xdr:row>
      <xdr:rowOff>57150</xdr:rowOff>
    </xdr:to>
    <xdr:sp macro="" textlink="">
      <xdr:nvSpPr>
        <xdr:cNvPr id="19" name="Line 19"/>
        <xdr:cNvSpPr>
          <a:spLocks noChangeShapeType="1"/>
        </xdr:cNvSpPr>
      </xdr:nvSpPr>
      <xdr:spPr bwMode="auto">
        <a:xfrm flipH="1" flipV="1">
          <a:off x="5286375" y="22812375"/>
          <a:ext cx="628649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219073</xdr:colOff>
      <xdr:row>80</xdr:row>
      <xdr:rowOff>57148</xdr:rowOff>
    </xdr:from>
    <xdr:to>
      <xdr:col>5</xdr:col>
      <xdr:colOff>866774</xdr:colOff>
      <xdr:row>80</xdr:row>
      <xdr:rowOff>66674</xdr:rowOff>
    </xdr:to>
    <xdr:sp macro="" textlink="">
      <xdr:nvSpPr>
        <xdr:cNvPr id="20" name="Line 19"/>
        <xdr:cNvSpPr>
          <a:spLocks noChangeShapeType="1"/>
        </xdr:cNvSpPr>
      </xdr:nvSpPr>
      <xdr:spPr bwMode="auto">
        <a:xfrm flipH="1" flipV="1">
          <a:off x="5276848" y="23193373"/>
          <a:ext cx="647701" cy="9526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333374</xdr:colOff>
      <xdr:row>79</xdr:row>
      <xdr:rowOff>66674</xdr:rowOff>
    </xdr:from>
    <xdr:to>
      <xdr:col>5</xdr:col>
      <xdr:colOff>723898</xdr:colOff>
      <xdr:row>79</xdr:row>
      <xdr:rowOff>66675</xdr:rowOff>
    </xdr:to>
    <xdr:sp macro="" textlink="">
      <xdr:nvSpPr>
        <xdr:cNvPr id="21" name="Line 19"/>
        <xdr:cNvSpPr>
          <a:spLocks noChangeShapeType="1"/>
        </xdr:cNvSpPr>
      </xdr:nvSpPr>
      <xdr:spPr bwMode="auto">
        <a:xfrm flipH="1" flipV="1">
          <a:off x="5391149" y="23012399"/>
          <a:ext cx="390524" cy="1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209550</xdr:colOff>
      <xdr:row>79</xdr:row>
      <xdr:rowOff>66675</xdr:rowOff>
    </xdr:from>
    <xdr:to>
      <xdr:col>5</xdr:col>
      <xdr:colOff>323850</xdr:colOff>
      <xdr:row>80</xdr:row>
      <xdr:rowOff>66675</xdr:rowOff>
    </xdr:to>
    <xdr:sp macro="" textlink="">
      <xdr:nvSpPr>
        <xdr:cNvPr id="22" name="Line 19"/>
        <xdr:cNvSpPr>
          <a:spLocks noChangeShapeType="1"/>
        </xdr:cNvSpPr>
      </xdr:nvSpPr>
      <xdr:spPr bwMode="auto">
        <a:xfrm flipH="1">
          <a:off x="5267325" y="23012400"/>
          <a:ext cx="114300" cy="1905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219073</xdr:colOff>
      <xdr:row>78</xdr:row>
      <xdr:rowOff>66675</xdr:rowOff>
    </xdr:from>
    <xdr:to>
      <xdr:col>5</xdr:col>
      <xdr:colOff>323849</xdr:colOff>
      <xdr:row>79</xdr:row>
      <xdr:rowOff>57150</xdr:rowOff>
    </xdr:to>
    <xdr:sp macro="" textlink="">
      <xdr:nvSpPr>
        <xdr:cNvPr id="23" name="Line 19"/>
        <xdr:cNvSpPr>
          <a:spLocks noChangeShapeType="1"/>
        </xdr:cNvSpPr>
      </xdr:nvSpPr>
      <xdr:spPr bwMode="auto">
        <a:xfrm>
          <a:off x="5276848" y="22821900"/>
          <a:ext cx="104776" cy="1809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75</xdr:row>
      <xdr:rowOff>29935</xdr:rowOff>
    </xdr:from>
    <xdr:to>
      <xdr:col>5</xdr:col>
      <xdr:colOff>771525</xdr:colOff>
      <xdr:row>77</xdr:row>
      <xdr:rowOff>65314</xdr:rowOff>
    </xdr:to>
    <xdr:sp macro="" textlink="">
      <xdr:nvSpPr>
        <xdr:cNvPr id="24" name="Oval 86"/>
        <xdr:cNvSpPr>
          <a:spLocks noChangeArrowheads="1"/>
        </xdr:cNvSpPr>
      </xdr:nvSpPr>
      <xdr:spPr bwMode="auto">
        <a:xfrm>
          <a:off x="5381625" y="22213660"/>
          <a:ext cx="447675" cy="416379"/>
        </a:xfrm>
        <a:prstGeom prst="ellipse">
          <a:avLst/>
        </a:prstGeom>
        <a:solidFill>
          <a:srgbClr val="FFFFFF"/>
        </a:solidFill>
        <a:ln w="2857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0" rIns="27432" bIns="22860" anchor="b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Y</a:t>
          </a:r>
        </a:p>
      </xdr:txBody>
    </xdr:sp>
    <xdr:clientData/>
  </xdr:twoCellAnchor>
  <xdr:twoCellAnchor>
    <xdr:from>
      <xdr:col>5</xdr:col>
      <xdr:colOff>333375</xdr:colOff>
      <xdr:row>73</xdr:row>
      <xdr:rowOff>152400</xdr:rowOff>
    </xdr:from>
    <xdr:to>
      <xdr:col>5</xdr:col>
      <xdr:colOff>781050</xdr:colOff>
      <xdr:row>76</xdr:row>
      <xdr:rowOff>6803</xdr:rowOff>
    </xdr:to>
    <xdr:sp macro="" textlink="">
      <xdr:nvSpPr>
        <xdr:cNvPr id="25" name="Oval 94"/>
        <xdr:cNvSpPr>
          <a:spLocks noChangeArrowheads="1"/>
        </xdr:cNvSpPr>
      </xdr:nvSpPr>
      <xdr:spPr bwMode="auto">
        <a:xfrm>
          <a:off x="5391150" y="21955125"/>
          <a:ext cx="447675" cy="425903"/>
        </a:xfrm>
        <a:prstGeom prst="ellipse">
          <a:avLst/>
        </a:prstGeom>
        <a:solidFill>
          <a:srgbClr val="FFFFFF"/>
        </a:solidFill>
        <a:ln w="2857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Y</a:t>
          </a:r>
        </a:p>
      </xdr:txBody>
    </xdr:sp>
    <xdr:clientData/>
  </xdr:twoCellAnchor>
  <xdr:twoCellAnchor>
    <xdr:from>
      <xdr:col>4</xdr:col>
      <xdr:colOff>428624</xdr:colOff>
      <xdr:row>81</xdr:row>
      <xdr:rowOff>76200</xdr:rowOff>
    </xdr:from>
    <xdr:to>
      <xdr:col>7</xdr:col>
      <xdr:colOff>142875</xdr:colOff>
      <xdr:row>81</xdr:row>
      <xdr:rowOff>76200</xdr:rowOff>
    </xdr:to>
    <xdr:sp macro="" textlink="">
      <xdr:nvSpPr>
        <xdr:cNvPr id="26" name="Line 133"/>
        <xdr:cNvSpPr>
          <a:spLocks noChangeShapeType="1"/>
        </xdr:cNvSpPr>
      </xdr:nvSpPr>
      <xdr:spPr bwMode="auto">
        <a:xfrm flipH="1">
          <a:off x="4410074" y="23402925"/>
          <a:ext cx="2409826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428623</xdr:colOff>
      <xdr:row>81</xdr:row>
      <xdr:rowOff>66675</xdr:rowOff>
    </xdr:from>
    <xdr:to>
      <xdr:col>4</xdr:col>
      <xdr:colOff>428623</xdr:colOff>
      <xdr:row>83</xdr:row>
      <xdr:rowOff>2722</xdr:rowOff>
    </xdr:to>
    <xdr:sp macro="" textlink="">
      <xdr:nvSpPr>
        <xdr:cNvPr id="27" name="Line 134"/>
        <xdr:cNvSpPr>
          <a:spLocks noChangeShapeType="1"/>
        </xdr:cNvSpPr>
      </xdr:nvSpPr>
      <xdr:spPr bwMode="auto">
        <a:xfrm>
          <a:off x="4410073" y="23393400"/>
          <a:ext cx="0" cy="317047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447673</xdr:colOff>
      <xdr:row>83</xdr:row>
      <xdr:rowOff>117022</xdr:rowOff>
    </xdr:from>
    <xdr:to>
      <xdr:col>4</xdr:col>
      <xdr:colOff>514348</xdr:colOff>
      <xdr:row>84</xdr:row>
      <xdr:rowOff>23132</xdr:rowOff>
    </xdr:to>
    <xdr:sp macro="" textlink="">
      <xdr:nvSpPr>
        <xdr:cNvPr id="28" name="Line 135"/>
        <xdr:cNvSpPr>
          <a:spLocks noChangeShapeType="1"/>
        </xdr:cNvSpPr>
      </xdr:nvSpPr>
      <xdr:spPr bwMode="auto">
        <a:xfrm flipH="1">
          <a:off x="4429123" y="23824747"/>
          <a:ext cx="66675" cy="9661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447673</xdr:colOff>
      <xdr:row>84</xdr:row>
      <xdr:rowOff>23132</xdr:rowOff>
    </xdr:from>
    <xdr:to>
      <xdr:col>4</xdr:col>
      <xdr:colOff>447673</xdr:colOff>
      <xdr:row>85</xdr:row>
      <xdr:rowOff>34018</xdr:rowOff>
    </xdr:to>
    <xdr:sp macro="" textlink="">
      <xdr:nvSpPr>
        <xdr:cNvPr id="29" name="Line 136"/>
        <xdr:cNvSpPr>
          <a:spLocks noChangeShapeType="1"/>
        </xdr:cNvSpPr>
      </xdr:nvSpPr>
      <xdr:spPr bwMode="auto">
        <a:xfrm>
          <a:off x="4429123" y="23921357"/>
          <a:ext cx="0" cy="201386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133348</xdr:colOff>
      <xdr:row>81</xdr:row>
      <xdr:rowOff>76200</xdr:rowOff>
    </xdr:from>
    <xdr:to>
      <xdr:col>7</xdr:col>
      <xdr:colOff>133348</xdr:colOff>
      <xdr:row>83</xdr:row>
      <xdr:rowOff>12247</xdr:rowOff>
    </xdr:to>
    <xdr:sp macro="" textlink="">
      <xdr:nvSpPr>
        <xdr:cNvPr id="30" name="Line 152"/>
        <xdr:cNvSpPr>
          <a:spLocks noChangeShapeType="1"/>
        </xdr:cNvSpPr>
      </xdr:nvSpPr>
      <xdr:spPr bwMode="auto">
        <a:xfrm>
          <a:off x="6810373" y="23402925"/>
          <a:ext cx="0" cy="317047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152398</xdr:colOff>
      <xdr:row>83</xdr:row>
      <xdr:rowOff>136072</xdr:rowOff>
    </xdr:from>
    <xdr:to>
      <xdr:col>7</xdr:col>
      <xdr:colOff>219073</xdr:colOff>
      <xdr:row>84</xdr:row>
      <xdr:rowOff>42182</xdr:rowOff>
    </xdr:to>
    <xdr:sp macro="" textlink="">
      <xdr:nvSpPr>
        <xdr:cNvPr id="31" name="Line 153"/>
        <xdr:cNvSpPr>
          <a:spLocks noChangeShapeType="1"/>
        </xdr:cNvSpPr>
      </xdr:nvSpPr>
      <xdr:spPr bwMode="auto">
        <a:xfrm flipH="1">
          <a:off x="6829423" y="23843797"/>
          <a:ext cx="66675" cy="9661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152398</xdr:colOff>
      <xdr:row>84</xdr:row>
      <xdr:rowOff>42182</xdr:rowOff>
    </xdr:from>
    <xdr:to>
      <xdr:col>7</xdr:col>
      <xdr:colOff>152398</xdr:colOff>
      <xdr:row>85</xdr:row>
      <xdr:rowOff>53068</xdr:rowOff>
    </xdr:to>
    <xdr:sp macro="" textlink="">
      <xdr:nvSpPr>
        <xdr:cNvPr id="32" name="Line 154"/>
        <xdr:cNvSpPr>
          <a:spLocks noChangeShapeType="1"/>
        </xdr:cNvSpPr>
      </xdr:nvSpPr>
      <xdr:spPr bwMode="auto">
        <a:xfrm>
          <a:off x="6829423" y="23940407"/>
          <a:ext cx="0" cy="201386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V31"/>
  <sheetViews>
    <sheetView zoomScale="85" zoomScaleNormal="85" workbookViewId="0">
      <selection activeCell="AT7" sqref="AT7"/>
    </sheetView>
  </sheetViews>
  <sheetFormatPr defaultRowHeight="13.2" x14ac:dyDescent="0.25"/>
  <cols>
    <col min="2" max="2" width="44.44140625" bestFit="1" customWidth="1"/>
    <col min="3" max="3" width="62.6640625" bestFit="1" customWidth="1"/>
    <col min="5" max="5" width="12.44140625" customWidth="1"/>
    <col min="6" max="6" width="20.44140625" bestFit="1" customWidth="1"/>
    <col min="7" max="7" width="26.6640625" bestFit="1" customWidth="1"/>
    <col min="8" max="8" width="8" style="4" bestFit="1" customWidth="1"/>
    <col min="9" max="9" width="17.44140625" bestFit="1" customWidth="1"/>
    <col min="10" max="10" width="17.44140625" customWidth="1"/>
    <col min="12" max="12" width="12" bestFit="1" customWidth="1"/>
    <col min="13" max="13" width="8" bestFit="1" customWidth="1"/>
    <col min="14" max="14" width="12.6640625" customWidth="1"/>
    <col min="15" max="15" width="11" customWidth="1"/>
    <col min="16" max="16" width="12.109375" customWidth="1"/>
    <col min="17" max="17" width="81.109375" customWidth="1"/>
    <col min="18" max="18" width="14.44140625" bestFit="1" customWidth="1"/>
    <col min="19" max="19" width="12.109375" bestFit="1" customWidth="1"/>
    <col min="20" max="21" width="12.77734375" bestFit="1" customWidth="1"/>
    <col min="22" max="22" width="13.33203125" bestFit="1" customWidth="1"/>
    <col min="23" max="23" width="9.44140625" customWidth="1"/>
    <col min="24" max="24" width="15.109375" bestFit="1" customWidth="1"/>
    <col min="25" max="25" width="27.44140625" customWidth="1"/>
    <col min="26" max="26" width="79.33203125" bestFit="1" customWidth="1"/>
    <col min="27" max="27" width="11.77734375" customWidth="1"/>
    <col min="28" max="28" width="8" bestFit="1" customWidth="1"/>
    <col min="29" max="29" width="15.6640625" bestFit="1" customWidth="1"/>
    <col min="30" max="31" width="11.77734375" customWidth="1"/>
    <col min="32" max="32" width="12" customWidth="1"/>
    <col min="33" max="34" width="13.6640625" customWidth="1"/>
    <col min="41" max="41" width="51.6640625" bestFit="1" customWidth="1"/>
    <col min="42" max="42" width="13.109375" customWidth="1"/>
    <col min="43" max="43" width="10.33203125" customWidth="1"/>
    <col min="44" max="44" width="10.77734375" customWidth="1"/>
    <col min="45" max="45" width="17.77734375" customWidth="1"/>
    <col min="46" max="46" width="19.6640625" customWidth="1"/>
    <col min="47" max="47" width="16.44140625" customWidth="1"/>
    <col min="48" max="48" width="11.77734375" customWidth="1"/>
  </cols>
  <sheetData>
    <row r="3" spans="2:48" x14ac:dyDescent="0.25">
      <c r="B3" t="s">
        <v>0</v>
      </c>
      <c r="C3" t="s">
        <v>6</v>
      </c>
    </row>
    <row r="4" spans="2:48" x14ac:dyDescent="0.25">
      <c r="B4" t="s">
        <v>1</v>
      </c>
      <c r="C4" s="7" t="s">
        <v>119</v>
      </c>
    </row>
    <row r="5" spans="2:48" x14ac:dyDescent="0.25">
      <c r="C5" t="s">
        <v>12</v>
      </c>
    </row>
    <row r="6" spans="2:48" x14ac:dyDescent="0.25">
      <c r="C6" t="s">
        <v>113</v>
      </c>
    </row>
    <row r="7" spans="2:48" x14ac:dyDescent="0.25">
      <c r="C7" t="s">
        <v>17</v>
      </c>
    </row>
    <row r="8" spans="2:48" ht="38.25" customHeight="1" x14ac:dyDescent="0.25">
      <c r="C8" t="s">
        <v>12</v>
      </c>
      <c r="D8" s="57" t="s">
        <v>18</v>
      </c>
      <c r="E8" s="54" t="s">
        <v>19</v>
      </c>
      <c r="F8" s="54" t="s">
        <v>20</v>
      </c>
      <c r="G8" s="54" t="s">
        <v>21</v>
      </c>
      <c r="H8" s="53" t="s">
        <v>22</v>
      </c>
      <c r="I8" s="54" t="s">
        <v>23</v>
      </c>
      <c r="J8" s="55" t="s">
        <v>117</v>
      </c>
      <c r="K8" s="50" t="s">
        <v>26</v>
      </c>
      <c r="L8" s="50" t="s">
        <v>27</v>
      </c>
      <c r="M8" s="50" t="s">
        <v>28</v>
      </c>
      <c r="N8" s="50" t="s">
        <v>29</v>
      </c>
      <c r="O8" s="50" t="s">
        <v>30</v>
      </c>
      <c r="P8" s="50" t="s">
        <v>115</v>
      </c>
      <c r="Q8" s="50" t="s">
        <v>31</v>
      </c>
      <c r="R8" s="50" t="s">
        <v>32</v>
      </c>
      <c r="S8" s="50" t="s">
        <v>33</v>
      </c>
      <c r="T8" s="50" t="s">
        <v>100</v>
      </c>
      <c r="U8" s="50" t="s">
        <v>101</v>
      </c>
      <c r="V8" s="48" t="s">
        <v>34</v>
      </c>
      <c r="W8" s="48"/>
      <c r="X8" s="48" t="s">
        <v>35</v>
      </c>
      <c r="Y8" s="48" t="s">
        <v>38</v>
      </c>
      <c r="Z8" s="48" t="s">
        <v>39</v>
      </c>
      <c r="AA8" s="49" t="s">
        <v>40</v>
      </c>
      <c r="AB8" s="48" t="s">
        <v>36</v>
      </c>
      <c r="AC8" s="48"/>
      <c r="AD8" s="3" t="s">
        <v>37</v>
      </c>
      <c r="AE8" s="45" t="s">
        <v>104</v>
      </c>
      <c r="AF8" s="46"/>
      <c r="AG8" s="47"/>
      <c r="AH8" s="51" t="s">
        <v>141</v>
      </c>
      <c r="AI8" s="49" t="s">
        <v>25</v>
      </c>
      <c r="AJ8" s="49"/>
      <c r="AK8" s="49"/>
      <c r="AL8" s="49" t="s">
        <v>99</v>
      </c>
      <c r="AM8" s="49"/>
      <c r="AN8" s="49"/>
      <c r="AO8" s="44" t="s">
        <v>106</v>
      </c>
      <c r="AP8" s="44"/>
      <c r="AQ8" s="44"/>
      <c r="AR8" s="44"/>
      <c r="AS8" s="43" t="s">
        <v>116</v>
      </c>
      <c r="AT8" s="43" t="s">
        <v>111</v>
      </c>
      <c r="AU8" s="43" t="s">
        <v>112</v>
      </c>
      <c r="AV8" s="43" t="s">
        <v>114</v>
      </c>
    </row>
    <row r="9" spans="2:48" ht="39.6" x14ac:dyDescent="0.25">
      <c r="D9" s="57"/>
      <c r="E9" s="54"/>
      <c r="F9" s="54"/>
      <c r="G9" s="54"/>
      <c r="H9" s="53"/>
      <c r="I9" s="54"/>
      <c r="J9" s="56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3" t="s">
        <v>43</v>
      </c>
      <c r="W9" s="3" t="s">
        <v>44</v>
      </c>
      <c r="X9" s="48"/>
      <c r="Y9" s="48"/>
      <c r="Z9" s="48"/>
      <c r="AA9" s="49"/>
      <c r="AB9" s="3" t="s">
        <v>45</v>
      </c>
      <c r="AC9" s="3" t="s">
        <v>46</v>
      </c>
      <c r="AD9" s="3"/>
      <c r="AE9" s="2" t="s">
        <v>105</v>
      </c>
      <c r="AF9" s="2" t="s">
        <v>102</v>
      </c>
      <c r="AG9" s="2" t="s">
        <v>103</v>
      </c>
      <c r="AH9" s="52"/>
      <c r="AI9" s="2" t="s">
        <v>24</v>
      </c>
      <c r="AJ9" s="2" t="s">
        <v>41</v>
      </c>
      <c r="AK9" s="2" t="s">
        <v>42</v>
      </c>
      <c r="AL9" s="2" t="s">
        <v>24</v>
      </c>
      <c r="AM9" s="2" t="s">
        <v>41</v>
      </c>
      <c r="AN9" s="2" t="s">
        <v>42</v>
      </c>
      <c r="AO9" s="2" t="s">
        <v>107</v>
      </c>
      <c r="AP9" s="2" t="s">
        <v>108</v>
      </c>
      <c r="AQ9" s="2" t="s">
        <v>109</v>
      </c>
      <c r="AR9" s="2" t="s">
        <v>110</v>
      </c>
      <c r="AS9" s="43"/>
      <c r="AT9" s="43"/>
      <c r="AU9" s="43"/>
      <c r="AV9" s="43"/>
    </row>
    <row r="10" spans="2:48" x14ac:dyDescent="0.25">
      <c r="D10" s="5">
        <v>10030</v>
      </c>
      <c r="E10" s="5" t="s">
        <v>66</v>
      </c>
      <c r="F10" s="5" t="s">
        <v>47</v>
      </c>
      <c r="G10" s="5" t="s">
        <v>67</v>
      </c>
      <c r="H10" s="6">
        <v>63</v>
      </c>
      <c r="I10" s="5" t="s">
        <v>68</v>
      </c>
      <c r="J10" s="5" t="s">
        <v>118</v>
      </c>
      <c r="K10" s="5" t="s">
        <v>62</v>
      </c>
      <c r="L10" s="5">
        <v>43402</v>
      </c>
      <c r="M10" s="5"/>
      <c r="N10" s="5"/>
      <c r="O10" s="5"/>
      <c r="P10" s="5" t="s">
        <v>49</v>
      </c>
      <c r="Q10" s="5" t="s">
        <v>63</v>
      </c>
      <c r="R10" s="5" t="s">
        <v>64</v>
      </c>
      <c r="S10" s="5" t="s">
        <v>50</v>
      </c>
      <c r="T10" s="5" t="s">
        <v>61</v>
      </c>
      <c r="U10" s="5"/>
      <c r="V10" s="5" t="s">
        <v>51</v>
      </c>
      <c r="W10" s="5" t="s">
        <v>52</v>
      </c>
      <c r="X10" s="5" t="s">
        <v>49</v>
      </c>
      <c r="Y10" s="5" t="s">
        <v>71</v>
      </c>
      <c r="Z10" s="5" t="s">
        <v>72</v>
      </c>
      <c r="AA10" s="5">
        <v>2</v>
      </c>
      <c r="AB10" s="5" t="s">
        <v>57</v>
      </c>
      <c r="AC10" s="5" t="s">
        <v>69</v>
      </c>
      <c r="AD10" s="5" t="s">
        <v>70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2:48" x14ac:dyDescent="0.25">
      <c r="D11" s="5">
        <v>10034</v>
      </c>
      <c r="E11" s="5" t="s">
        <v>73</v>
      </c>
      <c r="F11" s="5" t="s">
        <v>59</v>
      </c>
      <c r="G11" s="5" t="s">
        <v>74</v>
      </c>
      <c r="H11" s="6">
        <v>250</v>
      </c>
      <c r="I11" s="5" t="s">
        <v>68</v>
      </c>
      <c r="J11" s="5" t="s">
        <v>118</v>
      </c>
      <c r="K11" s="5" t="s">
        <v>54</v>
      </c>
      <c r="L11" s="5">
        <v>43441</v>
      </c>
      <c r="M11" s="5"/>
      <c r="N11" s="5"/>
      <c r="O11" s="5"/>
      <c r="P11" s="5" t="s">
        <v>49</v>
      </c>
      <c r="Q11" s="5" t="s">
        <v>60</v>
      </c>
      <c r="R11" s="5" t="s">
        <v>55</v>
      </c>
      <c r="S11" s="5" t="s">
        <v>50</v>
      </c>
      <c r="T11" s="5" t="s">
        <v>56</v>
      </c>
      <c r="U11" s="5"/>
      <c r="V11" s="5" t="s">
        <v>51</v>
      </c>
      <c r="W11" s="5" t="s">
        <v>52</v>
      </c>
      <c r="X11" s="5" t="s">
        <v>49</v>
      </c>
      <c r="Y11" s="5" t="s">
        <v>77</v>
      </c>
      <c r="Z11" s="5" t="s">
        <v>58</v>
      </c>
      <c r="AA11" s="5">
        <v>2</v>
      </c>
      <c r="AB11" s="5" t="s">
        <v>57</v>
      </c>
      <c r="AC11" s="5" t="s">
        <v>75</v>
      </c>
      <c r="AD11" s="5" t="s">
        <v>76</v>
      </c>
      <c r="AE11" s="5"/>
      <c r="AF11" s="5"/>
      <c r="AG11" s="5"/>
      <c r="AH11" s="5"/>
      <c r="AI11" s="5">
        <v>2018</v>
      </c>
      <c r="AJ11" s="5">
        <v>2024</v>
      </c>
      <c r="AK11" s="5">
        <v>4.91</v>
      </c>
      <c r="AL11" s="5">
        <v>2018</v>
      </c>
      <c r="AM11" s="5">
        <v>2024</v>
      </c>
      <c r="AN11" s="5">
        <v>4.91</v>
      </c>
      <c r="AO11" s="5"/>
      <c r="AP11" s="5"/>
      <c r="AQ11" s="5"/>
      <c r="AR11" s="5"/>
      <c r="AS11" s="5"/>
      <c r="AT11" s="5"/>
      <c r="AU11" s="5"/>
      <c r="AV11" s="5"/>
    </row>
    <row r="12" spans="2:48" x14ac:dyDescent="0.25">
      <c r="D12" s="5">
        <v>10088</v>
      </c>
      <c r="E12" s="5" t="s">
        <v>78</v>
      </c>
      <c r="F12" s="5" t="s">
        <v>59</v>
      </c>
      <c r="G12" s="5" t="s">
        <v>79</v>
      </c>
      <c r="H12" s="6" t="s">
        <v>80</v>
      </c>
      <c r="I12" s="5" t="s">
        <v>68</v>
      </c>
      <c r="J12" s="5" t="s">
        <v>118</v>
      </c>
      <c r="K12" s="5" t="s">
        <v>48</v>
      </c>
      <c r="L12" s="5">
        <v>45076</v>
      </c>
      <c r="M12" s="5"/>
      <c r="N12" s="5"/>
      <c r="O12" s="5"/>
      <c r="P12" s="5"/>
      <c r="Q12" s="5" t="s">
        <v>81</v>
      </c>
      <c r="R12" s="5" t="s">
        <v>55</v>
      </c>
      <c r="S12" s="5" t="s">
        <v>50</v>
      </c>
      <c r="T12" s="5" t="s">
        <v>56</v>
      </c>
      <c r="U12" s="5"/>
      <c r="V12" s="5" t="s">
        <v>51</v>
      </c>
      <c r="W12" s="5" t="s">
        <v>52</v>
      </c>
      <c r="X12" s="5" t="s">
        <v>53</v>
      </c>
      <c r="Y12" s="5" t="s">
        <v>82</v>
      </c>
      <c r="Z12" s="5" t="s">
        <v>83</v>
      </c>
      <c r="AA12" s="5">
        <v>4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2:48" x14ac:dyDescent="0.25">
      <c r="D13" s="5">
        <v>10089</v>
      </c>
      <c r="E13" s="5" t="s">
        <v>84</v>
      </c>
      <c r="F13" s="5" t="s">
        <v>59</v>
      </c>
      <c r="G13" s="5" t="s">
        <v>79</v>
      </c>
      <c r="H13" s="6">
        <v>400</v>
      </c>
      <c r="I13" s="5" t="s">
        <v>68</v>
      </c>
      <c r="J13" s="5" t="s">
        <v>118</v>
      </c>
      <c r="K13" s="5" t="s">
        <v>48</v>
      </c>
      <c r="L13" s="5" t="s">
        <v>85</v>
      </c>
      <c r="M13" s="5"/>
      <c r="N13" s="5"/>
      <c r="O13" s="5"/>
      <c r="P13" s="5"/>
      <c r="Q13" s="5" t="s">
        <v>81</v>
      </c>
      <c r="R13" s="5" t="s">
        <v>55</v>
      </c>
      <c r="S13" s="5" t="s">
        <v>50</v>
      </c>
      <c r="T13" s="5" t="s">
        <v>56</v>
      </c>
      <c r="U13" s="5"/>
      <c r="V13" s="5" t="s">
        <v>51</v>
      </c>
      <c r="W13" s="5" t="s">
        <v>52</v>
      </c>
      <c r="X13" s="5" t="s">
        <v>53</v>
      </c>
      <c r="Y13" s="5" t="s">
        <v>82</v>
      </c>
      <c r="Z13" s="5" t="s">
        <v>83</v>
      </c>
      <c r="AA13" s="5">
        <v>4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2:48" x14ac:dyDescent="0.25">
      <c r="D14" s="5">
        <v>10090</v>
      </c>
      <c r="E14" s="5" t="s">
        <v>86</v>
      </c>
      <c r="F14" s="5" t="s">
        <v>59</v>
      </c>
      <c r="G14" s="5" t="s">
        <v>79</v>
      </c>
      <c r="H14" s="6">
        <v>400</v>
      </c>
      <c r="I14" s="5" t="s">
        <v>68</v>
      </c>
      <c r="J14" s="5" t="s">
        <v>118</v>
      </c>
      <c r="K14" s="5" t="s">
        <v>48</v>
      </c>
      <c r="L14" s="5" t="s">
        <v>85</v>
      </c>
      <c r="M14" s="5"/>
      <c r="N14" s="5"/>
      <c r="O14" s="5"/>
      <c r="P14" s="5"/>
      <c r="Q14" s="5" t="s">
        <v>81</v>
      </c>
      <c r="R14" s="5" t="s">
        <v>55</v>
      </c>
      <c r="S14" s="5" t="s">
        <v>50</v>
      </c>
      <c r="T14" s="5" t="s">
        <v>56</v>
      </c>
      <c r="U14" s="5"/>
      <c r="V14" s="5" t="s">
        <v>51</v>
      </c>
      <c r="W14" s="5" t="s">
        <v>52</v>
      </c>
      <c r="X14" s="5" t="s">
        <v>53</v>
      </c>
      <c r="Y14" s="5" t="s">
        <v>82</v>
      </c>
      <c r="Z14" s="5" t="s">
        <v>83</v>
      </c>
      <c r="AA14" s="5">
        <v>4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2:48" x14ac:dyDescent="0.25">
      <c r="D15" s="5">
        <v>10096</v>
      </c>
      <c r="E15" s="5" t="s">
        <v>87</v>
      </c>
      <c r="F15" s="5" t="s">
        <v>59</v>
      </c>
      <c r="G15" s="5" t="s">
        <v>79</v>
      </c>
      <c r="H15" s="6" t="s">
        <v>88</v>
      </c>
      <c r="I15" s="5" t="s">
        <v>68</v>
      </c>
      <c r="J15" s="5" t="s">
        <v>118</v>
      </c>
      <c r="K15" s="5" t="s">
        <v>48</v>
      </c>
      <c r="L15" s="5" t="s">
        <v>89</v>
      </c>
      <c r="M15" s="5"/>
      <c r="N15" s="5"/>
      <c r="O15" s="5"/>
      <c r="P15" s="5"/>
      <c r="Q15" s="5" t="s">
        <v>81</v>
      </c>
      <c r="R15" s="5" t="s">
        <v>90</v>
      </c>
      <c r="S15" s="5" t="s">
        <v>50</v>
      </c>
      <c r="T15" s="5" t="s">
        <v>91</v>
      </c>
      <c r="U15" s="5"/>
      <c r="V15" s="5" t="s">
        <v>51</v>
      </c>
      <c r="W15" s="5" t="s">
        <v>52</v>
      </c>
      <c r="X15" s="5" t="s">
        <v>53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2:48" x14ac:dyDescent="0.25">
      <c r="D16" s="5">
        <v>20003</v>
      </c>
      <c r="E16" s="5" t="s">
        <v>92</v>
      </c>
      <c r="F16" s="5" t="s">
        <v>59</v>
      </c>
      <c r="G16" s="5" t="s">
        <v>79</v>
      </c>
      <c r="H16" s="6" t="s">
        <v>80</v>
      </c>
      <c r="I16" s="5" t="s">
        <v>68</v>
      </c>
      <c r="J16" s="5" t="s">
        <v>118</v>
      </c>
      <c r="K16" s="5" t="s">
        <v>48</v>
      </c>
      <c r="L16" s="5" t="s">
        <v>93</v>
      </c>
      <c r="M16" s="5" t="s">
        <v>94</v>
      </c>
      <c r="N16" s="5"/>
      <c r="O16" s="5"/>
      <c r="P16" s="5"/>
      <c r="Q16" s="5" t="s">
        <v>81</v>
      </c>
      <c r="R16" s="5" t="s">
        <v>90</v>
      </c>
      <c r="S16" s="5" t="s">
        <v>50</v>
      </c>
      <c r="T16" s="5" t="s">
        <v>91</v>
      </c>
      <c r="U16" s="5"/>
      <c r="V16" s="5" t="s">
        <v>51</v>
      </c>
      <c r="W16" s="5" t="s">
        <v>52</v>
      </c>
      <c r="X16" s="5" t="s">
        <v>53</v>
      </c>
      <c r="Y16" s="5" t="s">
        <v>82</v>
      </c>
      <c r="Z16" s="5" t="s">
        <v>83</v>
      </c>
      <c r="AA16" s="5">
        <v>4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2:48" x14ac:dyDescent="0.25">
      <c r="D17" s="5">
        <v>20004</v>
      </c>
      <c r="E17" s="5" t="s">
        <v>95</v>
      </c>
      <c r="F17" s="5" t="s">
        <v>59</v>
      </c>
      <c r="G17" s="5" t="s">
        <v>79</v>
      </c>
      <c r="H17" s="6" t="s">
        <v>88</v>
      </c>
      <c r="I17" s="5" t="s">
        <v>68</v>
      </c>
      <c r="J17" s="5" t="s">
        <v>118</v>
      </c>
      <c r="K17" s="5" t="s">
        <v>48</v>
      </c>
      <c r="L17" s="5" t="s">
        <v>93</v>
      </c>
      <c r="M17" s="5" t="s">
        <v>96</v>
      </c>
      <c r="N17" s="5"/>
      <c r="O17" s="5"/>
      <c r="P17" s="5"/>
      <c r="Q17" s="5" t="s">
        <v>81</v>
      </c>
      <c r="R17" s="5" t="s">
        <v>90</v>
      </c>
      <c r="S17" s="5" t="s">
        <v>50</v>
      </c>
      <c r="T17" s="5" t="s">
        <v>91</v>
      </c>
      <c r="U17" s="5"/>
      <c r="V17" s="5" t="s">
        <v>51</v>
      </c>
      <c r="W17" s="5" t="s">
        <v>52</v>
      </c>
      <c r="X17" s="5" t="s">
        <v>53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2:48" x14ac:dyDescent="0.25">
      <c r="D18" s="5">
        <v>20005</v>
      </c>
      <c r="E18" s="5" t="s">
        <v>97</v>
      </c>
      <c r="F18" s="5" t="s">
        <v>59</v>
      </c>
      <c r="G18" s="5" t="s">
        <v>79</v>
      </c>
      <c r="H18" s="6" t="s">
        <v>88</v>
      </c>
      <c r="I18" s="5" t="s">
        <v>68</v>
      </c>
      <c r="J18" s="5" t="s">
        <v>118</v>
      </c>
      <c r="K18" s="5" t="s">
        <v>48</v>
      </c>
      <c r="L18" s="5" t="s">
        <v>93</v>
      </c>
      <c r="M18" s="5" t="s">
        <v>98</v>
      </c>
      <c r="N18" s="5"/>
      <c r="O18" s="5"/>
      <c r="P18" s="5"/>
      <c r="Q18" s="5" t="s">
        <v>81</v>
      </c>
      <c r="R18" s="5" t="s">
        <v>90</v>
      </c>
      <c r="S18" s="5" t="s">
        <v>50</v>
      </c>
      <c r="T18" s="5" t="s">
        <v>91</v>
      </c>
      <c r="U18" s="5"/>
      <c r="V18" s="5" t="s">
        <v>51</v>
      </c>
      <c r="W18" s="5" t="s">
        <v>52</v>
      </c>
      <c r="X18" s="5" t="s">
        <v>53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2:48" x14ac:dyDescent="0.25">
      <c r="C19" t="s">
        <v>13</v>
      </c>
    </row>
    <row r="20" spans="2:48" x14ac:dyDescent="0.25">
      <c r="C20" t="s">
        <v>14</v>
      </c>
    </row>
    <row r="21" spans="2:48" x14ac:dyDescent="0.25">
      <c r="C21" t="s">
        <v>15</v>
      </c>
    </row>
    <row r="22" spans="2:48" x14ac:dyDescent="0.25">
      <c r="C22" t="s">
        <v>16</v>
      </c>
    </row>
    <row r="27" spans="2:48" x14ac:dyDescent="0.25">
      <c r="B27" t="s">
        <v>2</v>
      </c>
    </row>
    <row r="28" spans="2:48" x14ac:dyDescent="0.25">
      <c r="B28" t="s">
        <v>3</v>
      </c>
    </row>
    <row r="30" spans="2:48" x14ac:dyDescent="0.25">
      <c r="B30" t="s">
        <v>4</v>
      </c>
    </row>
    <row r="31" spans="2:48" x14ac:dyDescent="0.25">
      <c r="B31" t="s">
        <v>5</v>
      </c>
    </row>
  </sheetData>
  <mergeCells count="33">
    <mergeCell ref="D8:D9"/>
    <mergeCell ref="E8:E9"/>
    <mergeCell ref="F8:F9"/>
    <mergeCell ref="G8:G9"/>
    <mergeCell ref="T8:T9"/>
    <mergeCell ref="V8:W8"/>
    <mergeCell ref="K8:K9"/>
    <mergeCell ref="L8:L9"/>
    <mergeCell ref="M8:M9"/>
    <mergeCell ref="R8:R9"/>
    <mergeCell ref="S8:S9"/>
    <mergeCell ref="H8:H9"/>
    <mergeCell ref="I8:I9"/>
    <mergeCell ref="J8:J9"/>
    <mergeCell ref="O8:O9"/>
    <mergeCell ref="N8:N9"/>
    <mergeCell ref="Q8:Q9"/>
    <mergeCell ref="P8:P9"/>
    <mergeCell ref="X8:X9"/>
    <mergeCell ref="AB8:AC8"/>
    <mergeCell ref="AA8:AA9"/>
    <mergeCell ref="AL8:AN8"/>
    <mergeCell ref="U8:U9"/>
    <mergeCell ref="Y8:Y9"/>
    <mergeCell ref="AH8:AH9"/>
    <mergeCell ref="Z8:Z9"/>
    <mergeCell ref="AI8:AK8"/>
    <mergeCell ref="AV8:AV9"/>
    <mergeCell ref="AO8:AR8"/>
    <mergeCell ref="AE8:AG8"/>
    <mergeCell ref="AS8:AS9"/>
    <mergeCell ref="AT8:AT9"/>
    <mergeCell ref="AU8:AU9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A18" sqref="A18"/>
    </sheetView>
  </sheetViews>
  <sheetFormatPr defaultRowHeight="13.2" x14ac:dyDescent="0.25"/>
  <cols>
    <col min="1" max="1" width="54.44140625" bestFit="1" customWidth="1"/>
    <col min="2" max="2" width="14.33203125" customWidth="1"/>
    <col min="3" max="3" width="24.33203125" customWidth="1"/>
  </cols>
  <sheetData>
    <row r="1" spans="1:5" x14ac:dyDescent="0.25">
      <c r="A1" s="1" t="s">
        <v>139</v>
      </c>
      <c r="B1">
        <v>1</v>
      </c>
      <c r="C1" t="s">
        <v>120</v>
      </c>
      <c r="E1">
        <v>2</v>
      </c>
    </row>
    <row r="2" spans="1:5" x14ac:dyDescent="0.25">
      <c r="B2">
        <v>6</v>
      </c>
      <c r="C2" t="s">
        <v>121</v>
      </c>
      <c r="D2">
        <v>54</v>
      </c>
      <c r="E2">
        <v>39</v>
      </c>
    </row>
    <row r="3" spans="1:5" x14ac:dyDescent="0.25">
      <c r="B3">
        <v>9</v>
      </c>
      <c r="C3" t="s">
        <v>122</v>
      </c>
      <c r="D3">
        <v>4</v>
      </c>
      <c r="E3">
        <f>9+3</f>
        <v>12</v>
      </c>
    </row>
    <row r="4" spans="1:5" x14ac:dyDescent="0.25">
      <c r="B4">
        <v>10</v>
      </c>
      <c r="C4" t="s">
        <v>123</v>
      </c>
    </row>
    <row r="6" spans="1:5" x14ac:dyDescent="0.25">
      <c r="A6" s="1" t="s">
        <v>138</v>
      </c>
      <c r="B6">
        <v>1</v>
      </c>
      <c r="C6" t="s">
        <v>7</v>
      </c>
      <c r="D6" s="8">
        <v>5</v>
      </c>
    </row>
    <row r="7" spans="1:5" x14ac:dyDescent="0.25">
      <c r="B7">
        <v>4</v>
      </c>
      <c r="C7" t="s">
        <v>8</v>
      </c>
      <c r="D7">
        <v>36</v>
      </c>
      <c r="E7">
        <v>28</v>
      </c>
    </row>
    <row r="8" spans="1:5" x14ac:dyDescent="0.25">
      <c r="B8">
        <v>5</v>
      </c>
      <c r="C8" t="s">
        <v>9</v>
      </c>
      <c r="D8">
        <v>5</v>
      </c>
      <c r="E8">
        <v>3</v>
      </c>
    </row>
    <row r="9" spans="1:5" x14ac:dyDescent="0.25">
      <c r="B9">
        <v>6</v>
      </c>
      <c r="C9" t="s">
        <v>10</v>
      </c>
      <c r="D9">
        <v>9</v>
      </c>
      <c r="E9">
        <v>5</v>
      </c>
    </row>
    <row r="10" spans="1:5" x14ac:dyDescent="0.25">
      <c r="B10">
        <v>7</v>
      </c>
      <c r="C10" t="s">
        <v>11</v>
      </c>
      <c r="D10">
        <v>30</v>
      </c>
      <c r="E10">
        <v>10</v>
      </c>
    </row>
    <row r="12" spans="1:5" x14ac:dyDescent="0.25">
      <c r="A12" s="1" t="s">
        <v>137</v>
      </c>
      <c r="B12">
        <v>3</v>
      </c>
      <c r="C12" t="s">
        <v>124</v>
      </c>
      <c r="D12">
        <v>2</v>
      </c>
      <c r="E12">
        <v>14</v>
      </c>
    </row>
    <row r="13" spans="1:5" x14ac:dyDescent="0.25">
      <c r="B13">
        <v>5</v>
      </c>
      <c r="C13" t="s">
        <v>125</v>
      </c>
      <c r="D13">
        <v>35</v>
      </c>
      <c r="E13">
        <v>3</v>
      </c>
    </row>
    <row r="14" spans="1:5" x14ac:dyDescent="0.25">
      <c r="B14">
        <v>6</v>
      </c>
      <c r="C14" t="s">
        <v>126</v>
      </c>
      <c r="D14">
        <v>11</v>
      </c>
      <c r="E14">
        <v>12</v>
      </c>
    </row>
    <row r="16" spans="1:5" x14ac:dyDescent="0.25">
      <c r="A16" s="1" t="s">
        <v>136</v>
      </c>
      <c r="B16">
        <v>1</v>
      </c>
      <c r="C16" t="s">
        <v>127</v>
      </c>
      <c r="D16">
        <v>3</v>
      </c>
      <c r="E16">
        <v>10</v>
      </c>
    </row>
    <row r="17" spans="1:5" x14ac:dyDescent="0.25">
      <c r="B17">
        <v>7</v>
      </c>
      <c r="C17" t="s">
        <v>128</v>
      </c>
      <c r="D17">
        <v>13</v>
      </c>
      <c r="E17">
        <v>8</v>
      </c>
    </row>
    <row r="18" spans="1:5" x14ac:dyDescent="0.25">
      <c r="B18">
        <v>11</v>
      </c>
      <c r="C18" t="s">
        <v>129</v>
      </c>
      <c r="D18">
        <f>53-5</f>
        <v>48</v>
      </c>
      <c r="E18">
        <v>46</v>
      </c>
    </row>
    <row r="20" spans="1:5" x14ac:dyDescent="0.25">
      <c r="A20" s="1" t="s">
        <v>135</v>
      </c>
      <c r="B20">
        <v>6</v>
      </c>
      <c r="C20" t="s">
        <v>130</v>
      </c>
      <c r="D20">
        <v>27</v>
      </c>
      <c r="E20">
        <v>13</v>
      </c>
    </row>
    <row r="21" spans="1:5" x14ac:dyDescent="0.25">
      <c r="A21" s="9" t="s">
        <v>140</v>
      </c>
      <c r="B21">
        <v>4</v>
      </c>
      <c r="C21" t="s">
        <v>131</v>
      </c>
      <c r="D21">
        <v>29</v>
      </c>
      <c r="E21">
        <v>33</v>
      </c>
    </row>
    <row r="23" spans="1:5" x14ac:dyDescent="0.25">
      <c r="A23" s="7" t="s">
        <v>132</v>
      </c>
      <c r="B23">
        <v>4</v>
      </c>
      <c r="C23" t="s">
        <v>133</v>
      </c>
      <c r="D23">
        <v>1</v>
      </c>
      <c r="E23">
        <v>5</v>
      </c>
    </row>
    <row r="24" spans="1:5" x14ac:dyDescent="0.25">
      <c r="B24">
        <v>5</v>
      </c>
      <c r="C24" t="s">
        <v>134</v>
      </c>
      <c r="D24">
        <v>40</v>
      </c>
      <c r="E24">
        <v>13</v>
      </c>
    </row>
    <row r="25" spans="1:5" x14ac:dyDescent="0.25">
      <c r="D25" s="1">
        <f>SUM(D1:D24)</f>
        <v>352</v>
      </c>
      <c r="E25" s="1">
        <f>SUM(E1:E24)</f>
        <v>256</v>
      </c>
    </row>
    <row r="27" spans="1:5" x14ac:dyDescent="0.25">
      <c r="D27" s="1"/>
      <c r="E27" s="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Views>
    <sheetView tabSelected="1" zoomScale="85" zoomScaleNormal="85" workbookViewId="0">
      <selection activeCell="B12" sqref="B12:B13"/>
    </sheetView>
  </sheetViews>
  <sheetFormatPr defaultColWidth="9.33203125" defaultRowHeight="14.4" x14ac:dyDescent="0.3"/>
  <cols>
    <col min="1" max="1" width="9.33203125" style="10"/>
    <col min="2" max="2" width="19.109375" style="10" bestFit="1" customWidth="1"/>
    <col min="3" max="3" width="19.44140625" style="10" customWidth="1"/>
    <col min="4" max="4" width="20.33203125" style="10" bestFit="1" customWidth="1"/>
    <col min="5" max="5" width="18.77734375" style="10" customWidth="1"/>
    <col min="6" max="6" width="15.109375" style="10" customWidth="1"/>
    <col min="7" max="7" width="13.109375" style="10" bestFit="1" customWidth="1"/>
    <col min="8" max="8" width="9.44140625" style="10" customWidth="1"/>
    <col min="9" max="9" width="14.44140625" style="10" customWidth="1"/>
    <col min="10" max="10" width="13.77734375" style="10" customWidth="1"/>
    <col min="11" max="11" width="15.77734375" style="10" customWidth="1"/>
    <col min="12" max="12" width="10.6640625" style="10" customWidth="1"/>
    <col min="13" max="13" width="14.109375" style="10" customWidth="1"/>
    <col min="14" max="15" width="10.6640625" style="10" customWidth="1"/>
    <col min="16" max="16384" width="9.33203125" style="10"/>
  </cols>
  <sheetData>
    <row r="1" spans="1:14" ht="18" x14ac:dyDescent="0.35">
      <c r="B1" s="90" t="s">
        <v>172</v>
      </c>
      <c r="C1" s="90"/>
      <c r="D1" s="90"/>
      <c r="E1" s="90"/>
      <c r="F1" s="90"/>
      <c r="G1" s="90"/>
      <c r="H1" s="90"/>
      <c r="I1" s="90"/>
      <c r="J1" s="90"/>
      <c r="K1" s="90"/>
    </row>
    <row r="2" spans="1:14" ht="30" customHeight="1" x14ac:dyDescent="0.3">
      <c r="A2" s="10">
        <v>10942</v>
      </c>
      <c r="B2" s="75" t="s">
        <v>152</v>
      </c>
      <c r="C2" s="75"/>
      <c r="D2" s="75"/>
      <c r="E2" s="75"/>
      <c r="F2" s="75"/>
      <c r="G2" s="75"/>
      <c r="H2" s="75"/>
      <c r="I2" s="75"/>
      <c r="J2" s="75"/>
      <c r="K2" s="75"/>
    </row>
    <row r="3" spans="1:14" ht="18" x14ac:dyDescent="0.3">
      <c r="B3" s="91" t="s">
        <v>219</v>
      </c>
      <c r="C3" s="91"/>
      <c r="D3" s="91"/>
      <c r="E3" s="91"/>
      <c r="F3" s="91"/>
      <c r="G3" s="91"/>
      <c r="H3" s="91"/>
      <c r="I3" s="91"/>
      <c r="J3" s="91"/>
      <c r="K3" s="91"/>
      <c r="M3" s="11" t="s">
        <v>49</v>
      </c>
      <c r="N3" s="11" t="s">
        <v>159</v>
      </c>
    </row>
    <row r="4" spans="1:14" ht="26.25" customHeight="1" x14ac:dyDescent="0.3">
      <c r="B4" s="12" t="s">
        <v>193</v>
      </c>
      <c r="C4" s="13" t="s">
        <v>160</v>
      </c>
      <c r="D4" s="12" t="s">
        <v>226</v>
      </c>
      <c r="E4" s="13" t="s">
        <v>200</v>
      </c>
      <c r="F4" s="13"/>
      <c r="G4" s="13"/>
      <c r="H4" s="13"/>
      <c r="I4" s="13"/>
      <c r="J4" s="13"/>
      <c r="K4" s="13"/>
    </row>
    <row r="5" spans="1:14" ht="15.6" x14ac:dyDescent="0.3">
      <c r="B5" s="12" t="s">
        <v>206</v>
      </c>
      <c r="C5" s="13" t="s">
        <v>183</v>
      </c>
      <c r="D5" s="13"/>
      <c r="E5" s="13"/>
      <c r="F5" s="13"/>
      <c r="G5" s="13"/>
      <c r="H5" s="13"/>
      <c r="I5" s="13"/>
      <c r="J5" s="13"/>
      <c r="K5" s="13"/>
    </row>
    <row r="6" spans="1:14" ht="15.6" x14ac:dyDescent="0.3">
      <c r="B6" s="12" t="s">
        <v>161</v>
      </c>
      <c r="C6" s="13" t="s">
        <v>162</v>
      </c>
      <c r="D6" s="14" t="s">
        <v>203</v>
      </c>
      <c r="E6" s="13">
        <v>0</v>
      </c>
      <c r="F6" s="13"/>
      <c r="G6" s="12" t="s">
        <v>234</v>
      </c>
      <c r="H6" s="15"/>
      <c r="I6" s="15">
        <v>44480</v>
      </c>
      <c r="J6" s="13" t="s">
        <v>151</v>
      </c>
      <c r="K6" s="13"/>
    </row>
    <row r="7" spans="1:14" ht="15.6" x14ac:dyDescent="0.3">
      <c r="B7" s="12" t="s">
        <v>227</v>
      </c>
      <c r="C7" s="13"/>
      <c r="D7" s="16">
        <v>0</v>
      </c>
      <c r="E7" s="13"/>
      <c r="F7" s="13"/>
      <c r="G7" s="17" t="s">
        <v>201</v>
      </c>
      <c r="H7" s="13"/>
      <c r="I7" s="13">
        <v>0</v>
      </c>
      <c r="J7" s="13" t="s">
        <v>151</v>
      </c>
      <c r="K7" s="13"/>
    </row>
    <row r="8" spans="1:14" ht="15.6" x14ac:dyDescent="0.3">
      <c r="B8" s="12" t="s">
        <v>220</v>
      </c>
      <c r="C8" s="13"/>
      <c r="D8" s="18" t="s">
        <v>49</v>
      </c>
      <c r="E8" s="13"/>
      <c r="F8" s="13"/>
      <c r="G8" s="13"/>
      <c r="H8" s="13"/>
      <c r="I8" s="13"/>
      <c r="J8" s="13"/>
      <c r="K8" s="13"/>
    </row>
    <row r="9" spans="1:14" ht="15.75" customHeight="1" x14ac:dyDescent="0.3">
      <c r="B9" s="92" t="s">
        <v>208</v>
      </c>
      <c r="C9" s="92"/>
      <c r="D9" s="92"/>
      <c r="E9" s="92"/>
      <c r="F9" s="92"/>
      <c r="G9" s="92"/>
      <c r="H9" s="92"/>
      <c r="I9" s="92"/>
      <c r="J9" s="92"/>
      <c r="K9" s="92"/>
    </row>
    <row r="10" spans="1:14" ht="15.75" customHeight="1" x14ac:dyDescent="0.3"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4" ht="15.6" x14ac:dyDescent="0.3">
      <c r="B11" s="88" t="s">
        <v>231</v>
      </c>
      <c r="C11" s="88"/>
      <c r="D11" s="88"/>
      <c r="E11" s="88"/>
      <c r="F11" s="88"/>
      <c r="G11" s="88"/>
      <c r="H11" s="88"/>
      <c r="I11" s="88"/>
      <c r="J11" s="88"/>
      <c r="K11" s="88"/>
    </row>
    <row r="12" spans="1:14" ht="45" customHeight="1" x14ac:dyDescent="0.3">
      <c r="B12" s="87" t="s">
        <v>235</v>
      </c>
      <c r="C12" s="87" t="s">
        <v>180</v>
      </c>
      <c r="D12" s="87" t="s">
        <v>209</v>
      </c>
      <c r="E12" s="87" t="s">
        <v>163</v>
      </c>
      <c r="F12" s="87"/>
      <c r="G12" s="87" t="s">
        <v>174</v>
      </c>
      <c r="H12" s="87" t="s">
        <v>164</v>
      </c>
      <c r="I12" s="87" t="s">
        <v>198</v>
      </c>
      <c r="J12" s="87" t="s">
        <v>177</v>
      </c>
      <c r="K12" s="87" t="s">
        <v>155</v>
      </c>
    </row>
    <row r="13" spans="1:14" x14ac:dyDescent="0.3">
      <c r="B13" s="87"/>
      <c r="C13" s="87"/>
      <c r="D13" s="87"/>
      <c r="E13" s="20" t="s">
        <v>187</v>
      </c>
      <c r="F13" s="20" t="s">
        <v>188</v>
      </c>
      <c r="G13" s="87"/>
      <c r="H13" s="87"/>
      <c r="I13" s="87"/>
      <c r="J13" s="87"/>
      <c r="K13" s="87"/>
    </row>
    <row r="14" spans="1:14" ht="43.2" x14ac:dyDescent="0.3">
      <c r="B14" s="21" t="s">
        <v>158</v>
      </c>
      <c r="C14" s="21" t="s">
        <v>156</v>
      </c>
      <c r="D14" s="21" t="s">
        <v>157</v>
      </c>
      <c r="E14" s="21" t="s">
        <v>167</v>
      </c>
      <c r="F14" s="21" t="s">
        <v>154</v>
      </c>
      <c r="G14" s="21" t="s">
        <v>49</v>
      </c>
      <c r="H14" s="21"/>
      <c r="I14" s="21"/>
      <c r="J14" s="21" t="s">
        <v>181</v>
      </c>
      <c r="K14" s="21" t="s">
        <v>189</v>
      </c>
    </row>
    <row r="15" spans="1:14" x14ac:dyDescent="0.3"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7" spans="2:13" ht="15.6" x14ac:dyDescent="0.3">
      <c r="B17" s="88" t="s">
        <v>232</v>
      </c>
      <c r="C17" s="88"/>
      <c r="D17" s="88"/>
      <c r="E17" s="88"/>
      <c r="F17" s="88"/>
      <c r="G17" s="88"/>
      <c r="H17" s="88"/>
      <c r="I17" s="88"/>
      <c r="J17" s="88"/>
      <c r="K17" s="88"/>
    </row>
    <row r="18" spans="2:13" ht="27.6" x14ac:dyDescent="0.3">
      <c r="B18" s="20" t="s">
        <v>228</v>
      </c>
      <c r="C18" s="20" t="s">
        <v>210</v>
      </c>
      <c r="D18" s="22" t="s">
        <v>164</v>
      </c>
      <c r="E18" s="22" t="s">
        <v>173</v>
      </c>
      <c r="F18" s="22" t="s">
        <v>168</v>
      </c>
      <c r="G18" s="23" t="s">
        <v>169</v>
      </c>
      <c r="H18" s="23" t="s">
        <v>170</v>
      </c>
      <c r="I18" s="23" t="s">
        <v>171</v>
      </c>
      <c r="J18" s="89" t="s">
        <v>155</v>
      </c>
      <c r="K18" s="89"/>
    </row>
    <row r="19" spans="2:13" ht="82.5" customHeight="1" x14ac:dyDescent="0.3">
      <c r="B19" s="21" t="s">
        <v>165</v>
      </c>
      <c r="C19" s="21" t="s">
        <v>49</v>
      </c>
      <c r="D19" s="21" t="s">
        <v>65</v>
      </c>
      <c r="E19" s="21" t="s">
        <v>178</v>
      </c>
      <c r="F19" s="21" t="s">
        <v>142</v>
      </c>
      <c r="G19" s="21" t="s">
        <v>142</v>
      </c>
      <c r="H19" s="21"/>
      <c r="I19" s="21"/>
      <c r="J19" s="70" t="s">
        <v>194</v>
      </c>
      <c r="K19" s="72"/>
      <c r="L19" s="11" t="s">
        <v>179</v>
      </c>
      <c r="M19" s="11" t="s">
        <v>153</v>
      </c>
    </row>
    <row r="22" spans="2:13" ht="15.6" x14ac:dyDescent="0.3">
      <c r="B22" s="86" t="s">
        <v>233</v>
      </c>
      <c r="C22" s="86"/>
      <c r="D22" s="86"/>
      <c r="E22" s="86"/>
      <c r="F22" s="86"/>
      <c r="G22" s="86"/>
      <c r="H22" s="86"/>
      <c r="I22" s="86"/>
      <c r="J22" s="86"/>
      <c r="K22" s="86"/>
    </row>
    <row r="23" spans="2:13" x14ac:dyDescent="0.3">
      <c r="B23" s="24"/>
      <c r="C23" s="24"/>
      <c r="D23" s="24"/>
      <c r="E23" s="24"/>
      <c r="F23" s="62"/>
      <c r="G23" s="63"/>
      <c r="H23" s="64"/>
      <c r="I23" s="24"/>
      <c r="J23" s="62"/>
      <c r="K23" s="64"/>
    </row>
    <row r="24" spans="2:13" x14ac:dyDescent="0.3">
      <c r="B24" s="24"/>
      <c r="C24" s="24"/>
      <c r="D24" s="24"/>
      <c r="E24" s="24"/>
      <c r="F24" s="62"/>
      <c r="G24" s="63"/>
      <c r="H24" s="64"/>
      <c r="I24" s="24"/>
      <c r="J24" s="62"/>
      <c r="K24" s="64"/>
    </row>
    <row r="26" spans="2:13" ht="15" customHeight="1" x14ac:dyDescent="0.3">
      <c r="B26" s="75" t="s">
        <v>225</v>
      </c>
      <c r="C26" s="75"/>
      <c r="D26" s="75"/>
      <c r="E26" s="75"/>
      <c r="F26" s="75"/>
      <c r="G26" s="75"/>
      <c r="H26" s="75"/>
      <c r="I26" s="75"/>
      <c r="J26" s="75"/>
      <c r="K26" s="75"/>
    </row>
    <row r="27" spans="2:13" ht="15" customHeight="1" x14ac:dyDescent="0.3">
      <c r="B27" s="75"/>
      <c r="C27" s="75"/>
      <c r="D27" s="75"/>
      <c r="E27" s="75"/>
      <c r="F27" s="75"/>
      <c r="G27" s="75"/>
      <c r="H27" s="75"/>
      <c r="I27" s="75"/>
      <c r="J27" s="75"/>
      <c r="K27" s="75"/>
    </row>
    <row r="28" spans="2:13" ht="12" customHeight="1" x14ac:dyDescent="0.3">
      <c r="B28" s="25"/>
      <c r="C28" s="25"/>
      <c r="D28" s="25"/>
    </row>
    <row r="29" spans="2:13" ht="40.5" customHeight="1" x14ac:dyDescent="0.3">
      <c r="B29" s="26" t="s">
        <v>166</v>
      </c>
      <c r="C29" s="83" t="s">
        <v>199</v>
      </c>
      <c r="D29" s="84"/>
      <c r="E29" s="84"/>
      <c r="F29" s="84"/>
      <c r="G29" s="84"/>
      <c r="H29" s="84"/>
      <c r="I29" s="84"/>
      <c r="J29" s="83" t="s">
        <v>229</v>
      </c>
      <c r="K29" s="84"/>
    </row>
    <row r="30" spans="2:13" ht="40.5" customHeight="1" x14ac:dyDescent="0.3">
      <c r="B30" s="27">
        <v>43881</v>
      </c>
      <c r="C30" s="81" t="s">
        <v>236</v>
      </c>
      <c r="D30" s="85"/>
      <c r="E30" s="85"/>
      <c r="F30" s="85"/>
      <c r="G30" s="85"/>
      <c r="H30" s="85"/>
      <c r="I30" s="82"/>
      <c r="J30" s="81" t="s">
        <v>190</v>
      </c>
      <c r="K30" s="82"/>
    </row>
    <row r="31" spans="2:13" ht="40.5" customHeight="1" x14ac:dyDescent="0.3">
      <c r="B31" s="28">
        <v>43977</v>
      </c>
      <c r="C31" s="81" t="s">
        <v>222</v>
      </c>
      <c r="D31" s="85"/>
      <c r="E31" s="85"/>
      <c r="F31" s="85"/>
      <c r="G31" s="85"/>
      <c r="H31" s="85"/>
      <c r="I31" s="82"/>
      <c r="J31" s="81" t="s">
        <v>191</v>
      </c>
      <c r="K31" s="82"/>
    </row>
    <row r="32" spans="2:13" ht="40.5" customHeight="1" x14ac:dyDescent="0.3">
      <c r="B32" s="27">
        <v>44029</v>
      </c>
      <c r="C32" s="73" t="s">
        <v>211</v>
      </c>
      <c r="D32" s="80"/>
      <c r="E32" s="80"/>
      <c r="F32" s="80"/>
      <c r="G32" s="80"/>
      <c r="H32" s="80"/>
      <c r="I32" s="74"/>
      <c r="J32" s="81" t="s">
        <v>192</v>
      </c>
      <c r="K32" s="82"/>
    </row>
    <row r="33" spans="2:16" ht="40.5" customHeight="1" x14ac:dyDescent="0.3">
      <c r="B33" s="27">
        <v>44053</v>
      </c>
      <c r="C33" s="73" t="s">
        <v>212</v>
      </c>
      <c r="D33" s="80"/>
      <c r="E33" s="80"/>
      <c r="F33" s="80"/>
      <c r="G33" s="80"/>
      <c r="H33" s="80"/>
      <c r="I33" s="74"/>
      <c r="J33" s="81" t="s">
        <v>214</v>
      </c>
      <c r="K33" s="82"/>
    </row>
    <row r="34" spans="2:16" ht="40.5" customHeight="1" x14ac:dyDescent="0.3">
      <c r="B34" s="27">
        <v>44153</v>
      </c>
      <c r="C34" s="73" t="s">
        <v>175</v>
      </c>
      <c r="D34" s="80"/>
      <c r="E34" s="80"/>
      <c r="F34" s="80"/>
      <c r="G34" s="80"/>
      <c r="H34" s="80"/>
      <c r="I34" s="74"/>
      <c r="J34" s="73" t="s">
        <v>197</v>
      </c>
      <c r="K34" s="74"/>
    </row>
    <row r="35" spans="2:16" ht="40.5" customHeight="1" x14ac:dyDescent="0.3">
      <c r="B35" s="27">
        <v>44168</v>
      </c>
      <c r="C35" s="73" t="s">
        <v>176</v>
      </c>
      <c r="D35" s="80"/>
      <c r="E35" s="80"/>
      <c r="F35" s="80"/>
      <c r="G35" s="80"/>
      <c r="H35" s="80"/>
      <c r="I35" s="74"/>
      <c r="J35" s="73" t="s">
        <v>204</v>
      </c>
      <c r="K35" s="74"/>
    </row>
    <row r="36" spans="2:16" ht="40.5" customHeight="1" x14ac:dyDescent="0.3">
      <c r="B36" s="27">
        <v>44239</v>
      </c>
      <c r="C36" s="73" t="s">
        <v>182</v>
      </c>
      <c r="D36" s="80"/>
      <c r="E36" s="80"/>
      <c r="F36" s="80"/>
      <c r="G36" s="80"/>
      <c r="H36" s="80"/>
      <c r="I36" s="74"/>
      <c r="J36" s="81" t="s">
        <v>215</v>
      </c>
      <c r="K36" s="82"/>
    </row>
    <row r="37" spans="2:16" ht="40.5" customHeight="1" x14ac:dyDescent="0.3">
      <c r="B37" s="27">
        <v>44285</v>
      </c>
      <c r="C37" s="73" t="s">
        <v>207</v>
      </c>
      <c r="D37" s="80"/>
      <c r="E37" s="80"/>
      <c r="F37" s="80"/>
      <c r="G37" s="80"/>
      <c r="H37" s="80"/>
      <c r="I37" s="74"/>
      <c r="J37" s="81" t="s">
        <v>216</v>
      </c>
      <c r="K37" s="82"/>
    </row>
    <row r="38" spans="2:16" ht="40.5" customHeight="1" x14ac:dyDescent="0.3">
      <c r="B38" s="27">
        <v>44286</v>
      </c>
      <c r="C38" s="73" t="s">
        <v>213</v>
      </c>
      <c r="D38" s="80"/>
      <c r="E38" s="80"/>
      <c r="F38" s="80"/>
      <c r="G38" s="80"/>
      <c r="H38" s="80"/>
      <c r="I38" s="74"/>
      <c r="J38" s="81" t="s">
        <v>217</v>
      </c>
      <c r="K38" s="82"/>
    </row>
    <row r="39" spans="2:16" ht="64.5" customHeight="1" x14ac:dyDescent="0.3">
      <c r="B39" s="27">
        <v>44347</v>
      </c>
      <c r="C39" s="73" t="s">
        <v>223</v>
      </c>
      <c r="D39" s="80"/>
      <c r="E39" s="80"/>
      <c r="F39" s="80"/>
      <c r="G39" s="80"/>
      <c r="H39" s="80"/>
      <c r="I39" s="74"/>
      <c r="J39" s="73" t="s">
        <v>184</v>
      </c>
      <c r="K39" s="74"/>
    </row>
    <row r="40" spans="2:16" ht="64.5" customHeight="1" x14ac:dyDescent="0.3">
      <c r="B40" s="29">
        <v>44362</v>
      </c>
      <c r="C40" s="70" t="s">
        <v>224</v>
      </c>
      <c r="D40" s="71"/>
      <c r="E40" s="71"/>
      <c r="F40" s="71"/>
      <c r="G40" s="71"/>
      <c r="H40" s="71"/>
      <c r="I40" s="72"/>
      <c r="J40" s="73" t="s">
        <v>185</v>
      </c>
      <c r="K40" s="74"/>
    </row>
    <row r="41" spans="2:16" ht="64.5" customHeight="1" x14ac:dyDescent="0.3">
      <c r="B41" s="29">
        <v>44485</v>
      </c>
      <c r="C41" s="70" t="s">
        <v>202</v>
      </c>
      <c r="D41" s="71"/>
      <c r="E41" s="71"/>
      <c r="F41" s="71"/>
      <c r="G41" s="71"/>
      <c r="H41" s="71"/>
      <c r="I41" s="72"/>
      <c r="J41" s="73" t="s">
        <v>186</v>
      </c>
      <c r="K41" s="74"/>
    </row>
    <row r="42" spans="2:16" ht="15" customHeight="1" x14ac:dyDescent="0.3"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30"/>
      <c r="M42" s="30"/>
      <c r="N42" s="30"/>
      <c r="O42" s="30"/>
      <c r="P42" s="30"/>
    </row>
    <row r="43" spans="2:16" ht="15" customHeight="1" x14ac:dyDescent="0.3"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30"/>
      <c r="M43" s="30"/>
      <c r="N43" s="30"/>
      <c r="O43" s="30"/>
      <c r="P43" s="30"/>
    </row>
    <row r="44" spans="2:16" ht="15" customHeight="1" x14ac:dyDescent="0.3">
      <c r="B44" s="75" t="s">
        <v>218</v>
      </c>
      <c r="C44" s="75"/>
      <c r="D44" s="75"/>
      <c r="E44" s="75"/>
      <c r="F44" s="75"/>
      <c r="G44" s="75"/>
      <c r="H44" s="75"/>
      <c r="I44" s="75"/>
      <c r="J44" s="75"/>
      <c r="K44" s="75"/>
      <c r="L44" s="30"/>
      <c r="M44" s="30"/>
      <c r="N44" s="30"/>
      <c r="O44" s="30"/>
      <c r="P44" s="30"/>
    </row>
    <row r="45" spans="2:16" ht="15" customHeight="1" x14ac:dyDescent="0.3"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30"/>
      <c r="M45" s="30"/>
      <c r="N45" s="30"/>
      <c r="O45" s="30"/>
      <c r="P45" s="30"/>
    </row>
    <row r="46" spans="2:16" ht="40.5" customHeight="1" x14ac:dyDescent="0.3">
      <c r="B46" s="31" t="s">
        <v>166</v>
      </c>
      <c r="C46" s="77" t="s">
        <v>205</v>
      </c>
      <c r="D46" s="78"/>
      <c r="E46" s="78"/>
      <c r="F46" s="78"/>
      <c r="G46" s="78"/>
      <c r="H46" s="78"/>
      <c r="I46" s="79"/>
      <c r="J46" s="77" t="s">
        <v>230</v>
      </c>
      <c r="K46" s="79"/>
      <c r="L46" s="30"/>
      <c r="M46" s="30"/>
      <c r="N46" s="30"/>
      <c r="O46" s="30"/>
      <c r="P46" s="30"/>
    </row>
    <row r="47" spans="2:16" ht="23.25" customHeight="1" x14ac:dyDescent="0.3">
      <c r="B47" s="32"/>
      <c r="C47" s="65"/>
      <c r="D47" s="66"/>
      <c r="E47" s="66"/>
      <c r="F47" s="66"/>
      <c r="G47" s="66"/>
      <c r="H47" s="66"/>
      <c r="I47" s="67"/>
      <c r="J47" s="68"/>
      <c r="K47" s="69"/>
      <c r="L47" s="30"/>
      <c r="M47" s="30"/>
      <c r="N47" s="30"/>
      <c r="O47" s="30"/>
      <c r="P47" s="30"/>
    </row>
    <row r="48" spans="2:16" x14ac:dyDescent="0.3">
      <c r="B48" s="24"/>
      <c r="C48" s="62"/>
      <c r="D48" s="63"/>
      <c r="E48" s="63"/>
      <c r="F48" s="63"/>
      <c r="G48" s="63"/>
      <c r="H48" s="63"/>
      <c r="I48" s="64"/>
      <c r="J48" s="62"/>
      <c r="K48" s="64"/>
      <c r="L48" s="30"/>
      <c r="M48" s="30"/>
      <c r="N48" s="30"/>
      <c r="O48" s="30"/>
      <c r="P48" s="30"/>
    </row>
    <row r="49" spans="2:16" x14ac:dyDescent="0.3">
      <c r="B49" s="24"/>
      <c r="C49" s="62"/>
      <c r="D49" s="63"/>
      <c r="E49" s="63"/>
      <c r="F49" s="63"/>
      <c r="G49" s="63"/>
      <c r="H49" s="63"/>
      <c r="I49" s="64"/>
      <c r="J49" s="62"/>
      <c r="K49" s="64"/>
      <c r="L49" s="30"/>
      <c r="M49" s="30"/>
      <c r="N49" s="30"/>
      <c r="O49" s="30"/>
      <c r="P49" s="30"/>
    </row>
    <row r="50" spans="2:16" x14ac:dyDescent="0.3">
      <c r="B50" s="24"/>
      <c r="C50" s="62"/>
      <c r="D50" s="63"/>
      <c r="E50" s="63"/>
      <c r="F50" s="63"/>
      <c r="G50" s="63"/>
      <c r="H50" s="63"/>
      <c r="I50" s="64"/>
      <c r="J50" s="62"/>
      <c r="K50" s="64"/>
      <c r="L50" s="30"/>
      <c r="M50" s="30"/>
      <c r="N50" s="30"/>
      <c r="O50" s="30"/>
      <c r="P50" s="30"/>
    </row>
    <row r="51" spans="2:16" x14ac:dyDescent="0.3">
      <c r="B51" s="24"/>
      <c r="C51" s="62"/>
      <c r="D51" s="63"/>
      <c r="E51" s="63"/>
      <c r="F51" s="63"/>
      <c r="G51" s="63"/>
      <c r="H51" s="63"/>
      <c r="I51" s="64"/>
      <c r="J51" s="62"/>
      <c r="K51" s="64"/>
      <c r="L51" s="30"/>
      <c r="M51" s="30"/>
      <c r="N51" s="30"/>
      <c r="O51" s="30"/>
      <c r="P51" s="30"/>
    </row>
    <row r="52" spans="2:16" x14ac:dyDescent="0.3">
      <c r="B52" s="24"/>
      <c r="C52" s="62"/>
      <c r="D52" s="63"/>
      <c r="E52" s="63"/>
      <c r="F52" s="63"/>
      <c r="G52" s="63"/>
      <c r="H52" s="63"/>
      <c r="I52" s="64"/>
      <c r="J52" s="62"/>
      <c r="K52" s="64"/>
      <c r="L52" s="30"/>
      <c r="M52" s="30"/>
      <c r="N52" s="30"/>
      <c r="O52" s="30"/>
      <c r="P52" s="30"/>
    </row>
    <row r="53" spans="2:16" x14ac:dyDescent="0.3">
      <c r="B53" s="24"/>
      <c r="C53" s="62"/>
      <c r="D53" s="63"/>
      <c r="E53" s="63"/>
      <c r="F53" s="63"/>
      <c r="G53" s="63"/>
      <c r="H53" s="63"/>
      <c r="I53" s="64"/>
      <c r="J53" s="62"/>
      <c r="K53" s="64"/>
      <c r="L53" s="30"/>
      <c r="M53" s="30"/>
      <c r="N53" s="30"/>
      <c r="O53" s="30"/>
      <c r="P53" s="30"/>
    </row>
    <row r="54" spans="2:16" x14ac:dyDescent="0.3">
      <c r="B54" s="24"/>
      <c r="C54" s="62"/>
      <c r="D54" s="63"/>
      <c r="E54" s="63"/>
      <c r="F54" s="63"/>
      <c r="G54" s="63"/>
      <c r="H54" s="63"/>
      <c r="I54" s="64"/>
      <c r="J54" s="62"/>
      <c r="K54" s="64"/>
      <c r="L54" s="30"/>
      <c r="M54" s="30"/>
      <c r="N54" s="30"/>
      <c r="O54" s="30"/>
      <c r="P54" s="30"/>
    </row>
    <row r="55" spans="2:16" x14ac:dyDescent="0.3">
      <c r="B55" s="24"/>
      <c r="C55" s="62"/>
      <c r="D55" s="63"/>
      <c r="E55" s="63"/>
      <c r="F55" s="63"/>
      <c r="G55" s="63"/>
      <c r="H55" s="63"/>
      <c r="I55" s="64"/>
      <c r="J55" s="62"/>
      <c r="K55" s="64"/>
    </row>
    <row r="60" spans="2:16" x14ac:dyDescent="0.3">
      <c r="B60" s="58" t="s">
        <v>221</v>
      </c>
      <c r="C60" s="58"/>
      <c r="D60" s="58"/>
      <c r="E60" s="58"/>
      <c r="F60" s="58"/>
      <c r="G60" s="58"/>
      <c r="H60" s="58"/>
      <c r="I60" s="58"/>
      <c r="J60" s="58"/>
      <c r="K60" s="58"/>
    </row>
    <row r="62" spans="2:16" ht="18" x14ac:dyDescent="0.35">
      <c r="B62" s="33"/>
      <c r="C62" s="34" t="s">
        <v>195</v>
      </c>
      <c r="D62" s="59" t="s">
        <v>196</v>
      </c>
      <c r="E62" s="59"/>
      <c r="F62" s="59"/>
      <c r="G62" s="59"/>
      <c r="H62" s="59"/>
      <c r="I62" s="59"/>
      <c r="J62" s="59"/>
    </row>
    <row r="63" spans="2:16" x14ac:dyDescent="0.3">
      <c r="B63" s="35" t="s">
        <v>143</v>
      </c>
    </row>
    <row r="64" spans="2:16" x14ac:dyDescent="0.3">
      <c r="B64" s="35"/>
    </row>
    <row r="65" spans="2:8" ht="15" customHeight="1" x14ac:dyDescent="0.3">
      <c r="B65" s="35"/>
      <c r="G65" s="60" t="s">
        <v>158</v>
      </c>
      <c r="H65" s="60"/>
    </row>
    <row r="66" spans="2:8" ht="15.6" x14ac:dyDescent="0.3">
      <c r="B66" s="36"/>
    </row>
    <row r="67" spans="2:8" x14ac:dyDescent="0.3">
      <c r="B67" s="35"/>
      <c r="E67" s="10" t="s">
        <v>156</v>
      </c>
    </row>
    <row r="68" spans="2:8" x14ac:dyDescent="0.3">
      <c r="B68" s="35"/>
    </row>
    <row r="69" spans="2:8" ht="15.6" x14ac:dyDescent="0.3">
      <c r="B69" s="36"/>
    </row>
    <row r="70" spans="2:8" x14ac:dyDescent="0.3">
      <c r="B70" s="35"/>
    </row>
    <row r="71" spans="2:8" ht="15.6" x14ac:dyDescent="0.3">
      <c r="B71" s="36"/>
      <c r="G71" s="10" t="s">
        <v>157</v>
      </c>
    </row>
    <row r="73" spans="2:8" x14ac:dyDescent="0.3">
      <c r="B73" s="35" t="s">
        <v>144</v>
      </c>
    </row>
    <row r="74" spans="2:8" x14ac:dyDescent="0.3">
      <c r="B74" s="37"/>
    </row>
    <row r="75" spans="2:8" x14ac:dyDescent="0.3">
      <c r="F75" s="38" t="s">
        <v>145</v>
      </c>
    </row>
    <row r="76" spans="2:8" x14ac:dyDescent="0.3">
      <c r="B76" s="39"/>
    </row>
    <row r="77" spans="2:8" x14ac:dyDescent="0.3">
      <c r="G77" s="40" t="s">
        <v>159</v>
      </c>
      <c r="H77" s="40"/>
    </row>
    <row r="78" spans="2:8" x14ac:dyDescent="0.3">
      <c r="B78" s="40"/>
    </row>
    <row r="79" spans="2:8" x14ac:dyDescent="0.3">
      <c r="B79" s="40"/>
    </row>
    <row r="80" spans="2:8" x14ac:dyDescent="0.3">
      <c r="G80" s="41" t="s">
        <v>178</v>
      </c>
    </row>
    <row r="81" spans="2:9" x14ac:dyDescent="0.3">
      <c r="G81" s="59" t="s">
        <v>65</v>
      </c>
      <c r="H81" s="59"/>
      <c r="I81" s="40" t="s">
        <v>146</v>
      </c>
    </row>
    <row r="82" spans="2:9" x14ac:dyDescent="0.3">
      <c r="B82" s="40"/>
    </row>
    <row r="83" spans="2:9" x14ac:dyDescent="0.3">
      <c r="B83" s="39"/>
    </row>
    <row r="84" spans="2:9" x14ac:dyDescent="0.3">
      <c r="E84" s="10" t="s">
        <v>147</v>
      </c>
      <c r="G84" s="42" t="s">
        <v>148</v>
      </c>
      <c r="H84" s="61"/>
      <c r="I84" s="61"/>
    </row>
    <row r="85" spans="2:9" x14ac:dyDescent="0.3">
      <c r="B85" s="40" t="s">
        <v>149</v>
      </c>
    </row>
    <row r="86" spans="2:9" x14ac:dyDescent="0.3">
      <c r="C86" s="40" t="s">
        <v>150</v>
      </c>
    </row>
  </sheetData>
  <mergeCells count="76">
    <mergeCell ref="J18:K18"/>
    <mergeCell ref="B1:K1"/>
    <mergeCell ref="B2:K2"/>
    <mergeCell ref="B3:K3"/>
    <mergeCell ref="B9:K9"/>
    <mergeCell ref="B11:K11"/>
    <mergeCell ref="B12:B13"/>
    <mergeCell ref="C12:C13"/>
    <mergeCell ref="D12:D13"/>
    <mergeCell ref="E12:F12"/>
    <mergeCell ref="G12:G13"/>
    <mergeCell ref="H12:H13"/>
    <mergeCell ref="I12:I13"/>
    <mergeCell ref="J12:J13"/>
    <mergeCell ref="K12:K13"/>
    <mergeCell ref="B17:K17"/>
    <mergeCell ref="C31:I31"/>
    <mergeCell ref="J31:K31"/>
    <mergeCell ref="J19:K19"/>
    <mergeCell ref="B22:K22"/>
    <mergeCell ref="F23:H23"/>
    <mergeCell ref="J23:K23"/>
    <mergeCell ref="F24:H24"/>
    <mergeCell ref="J24:K24"/>
    <mergeCell ref="B26:K27"/>
    <mergeCell ref="C29:I29"/>
    <mergeCell ref="J29:K29"/>
    <mergeCell ref="C30:I30"/>
    <mergeCell ref="J30:K30"/>
    <mergeCell ref="C32:I32"/>
    <mergeCell ref="J32:K32"/>
    <mergeCell ref="C33:I33"/>
    <mergeCell ref="J33:K33"/>
    <mergeCell ref="C34:I34"/>
    <mergeCell ref="J34:K34"/>
    <mergeCell ref="C35:I35"/>
    <mergeCell ref="J35:K35"/>
    <mergeCell ref="C36:I36"/>
    <mergeCell ref="J36:K36"/>
    <mergeCell ref="C37:I37"/>
    <mergeCell ref="J37:K37"/>
    <mergeCell ref="C38:I38"/>
    <mergeCell ref="J38:K38"/>
    <mergeCell ref="C39:I39"/>
    <mergeCell ref="J39:K39"/>
    <mergeCell ref="C40:I40"/>
    <mergeCell ref="J40:K40"/>
    <mergeCell ref="C41:I41"/>
    <mergeCell ref="J41:K41"/>
    <mergeCell ref="B42:K43"/>
    <mergeCell ref="B44:K45"/>
    <mergeCell ref="C46:I46"/>
    <mergeCell ref="J46:K46"/>
    <mergeCell ref="C47:I47"/>
    <mergeCell ref="J47:K47"/>
    <mergeCell ref="C48:I48"/>
    <mergeCell ref="J48:K48"/>
    <mergeCell ref="C49:I49"/>
    <mergeCell ref="J49:K49"/>
    <mergeCell ref="C50:I50"/>
    <mergeCell ref="J50:K50"/>
    <mergeCell ref="C51:I51"/>
    <mergeCell ref="J51:K51"/>
    <mergeCell ref="C52:I52"/>
    <mergeCell ref="J52:K52"/>
    <mergeCell ref="C53:I53"/>
    <mergeCell ref="J53:K53"/>
    <mergeCell ref="C54:I54"/>
    <mergeCell ref="J54:K54"/>
    <mergeCell ref="C55:I55"/>
    <mergeCell ref="J55:K55"/>
    <mergeCell ref="B60:K60"/>
    <mergeCell ref="D62:J62"/>
    <mergeCell ref="G65:H65"/>
    <mergeCell ref="G81:H81"/>
    <mergeCell ref="H84:I84"/>
  </mergeCells>
  <pageMargins left="0.2" right="0.2" top="0.75" bottom="0.75" header="0.3" footer="0.3"/>
  <pageSetup paperSize="9" scale="70" orientation="portrait" horizontalDpi="18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Лист1</vt:lpstr>
      <vt:lpstr>ПС-Фидерлар</vt:lpstr>
      <vt:lpstr>10942</vt:lpstr>
      <vt:lpstr>Лист2</vt:lpstr>
      <vt:lpstr>'10942'!Область_печати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Jahongir</dc:creator>
  <cp:lastModifiedBy>User</cp:lastModifiedBy>
  <cp:lastPrinted>2026-04-01T18:29:01Z</cp:lastPrinted>
  <dcterms:created xsi:type="dcterms:W3CDTF">2026-02-23T10:25:16Z</dcterms:created>
  <dcterms:modified xsi:type="dcterms:W3CDTF">2026-04-01T18:29:08Z</dcterms:modified>
</cp:coreProperties>
</file>